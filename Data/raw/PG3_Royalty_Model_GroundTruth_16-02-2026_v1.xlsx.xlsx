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noah_brunner_stud_hslu_ch/Documents/Studium/Bachelor Arbeit/Royalty Tool/"/>
    </mc:Choice>
  </mc:AlternateContent>
  <xr:revisionPtr revIDLastSave="5" documentId="8_{CCE29DD9-58D3-4E16-A165-F5272A0D3D33}" xr6:coauthVersionLast="47" xr6:coauthVersionMax="47" xr10:uidLastSave="{B3C10922-435D-41C7-87DB-EEB30A39F4A2}"/>
  <bookViews>
    <workbookView xWindow="-120" yWindow="-120" windowWidth="38640" windowHeight="21120" activeTab="7" xr2:uid="{00000000-000D-0000-FFFF-FFFF00000000}"/>
  </bookViews>
  <sheets>
    <sheet name="00_Python_NextSteps" sheetId="1" r:id="rId1"/>
    <sheet name="01_Inputs" sheetId="2" r:id="rId2"/>
    <sheet name="02_PIR_Data_Paste" sheetId="3" r:id="rId3"/>
    <sheet name="03_Map" sheetId="4" r:id="rId4"/>
    <sheet name="04_Waterfall" sheetId="5" r:id="rId5"/>
    <sheet name="05_Outputs" sheetId="6" r:id="rId6"/>
    <sheet name="06_Checks" sheetId="7" r:id="rId7"/>
    <sheet name="07_Ex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8" l="1"/>
  <c r="B17" i="8"/>
  <c r="A17" i="8"/>
  <c r="R16" i="8"/>
  <c r="B16" i="8"/>
  <c r="A16" i="8"/>
  <c r="R15" i="8"/>
  <c r="B15" i="8"/>
  <c r="A15" i="8"/>
  <c r="R14" i="8"/>
  <c r="B14" i="8"/>
  <c r="A14" i="8"/>
  <c r="R13" i="8"/>
  <c r="B13" i="8"/>
  <c r="A13" i="8"/>
  <c r="R12" i="8"/>
  <c r="B12" i="8"/>
  <c r="A12" i="8"/>
  <c r="R11" i="8"/>
  <c r="B11" i="8"/>
  <c r="A11" i="8"/>
  <c r="R10" i="8"/>
  <c r="B10" i="8"/>
  <c r="A10" i="8"/>
  <c r="R9" i="8"/>
  <c r="B9" i="8"/>
  <c r="A9" i="8"/>
  <c r="R8" i="8"/>
  <c r="B8" i="8"/>
  <c r="A8" i="8"/>
  <c r="R7" i="8"/>
  <c r="B7" i="8"/>
  <c r="A7" i="8"/>
  <c r="R6" i="8"/>
  <c r="Q6" i="8"/>
  <c r="B6" i="8"/>
  <c r="A6" i="8"/>
  <c r="R5" i="8"/>
  <c r="B5" i="8"/>
  <c r="A5" i="8"/>
  <c r="R4" i="8"/>
  <c r="B4" i="8"/>
  <c r="A4" i="8"/>
  <c r="R3" i="8"/>
  <c r="B3" i="8"/>
  <c r="A3" i="8"/>
  <c r="R2" i="8"/>
  <c r="B2" i="8"/>
  <c r="A2" i="8"/>
  <c r="B4" i="7"/>
  <c r="B11" i="6"/>
  <c r="B2" i="6"/>
  <c r="J17" i="5"/>
  <c r="K17" i="8" s="1"/>
  <c r="J15" i="5"/>
  <c r="K15" i="8" s="1"/>
  <c r="J13" i="5"/>
  <c r="K13" i="8" s="1"/>
  <c r="J12" i="5"/>
  <c r="K12" i="8" s="1"/>
  <c r="J11" i="5"/>
  <c r="K11" i="8" s="1"/>
  <c r="J10" i="5"/>
  <c r="K10" i="8" s="1"/>
  <c r="J6" i="5"/>
  <c r="K6" i="8" s="1"/>
  <c r="J5" i="5"/>
  <c r="K5" i="8" s="1"/>
  <c r="J4" i="5"/>
  <c r="K4" i="8" s="1"/>
  <c r="J3" i="5"/>
  <c r="K3" i="8" s="1"/>
  <c r="J2" i="5"/>
  <c r="K2" i="8" s="1"/>
  <c r="B4" i="4"/>
  <c r="B5" i="4" s="1"/>
  <c r="B2" i="4"/>
  <c r="A2" i="4"/>
  <c r="J16" i="5" s="1"/>
  <c r="K16" i="8" s="1"/>
  <c r="B35" i="2"/>
  <c r="I3" i="5" l="1"/>
  <c r="J3" i="8" s="1"/>
  <c r="I14" i="5"/>
  <c r="J14" i="8" s="1"/>
  <c r="I16" i="5"/>
  <c r="J16" i="8" s="1"/>
  <c r="I2" i="5"/>
  <c r="J2" i="8" s="1"/>
  <c r="I8" i="5"/>
  <c r="J8" i="8" s="1"/>
  <c r="I6" i="5"/>
  <c r="J6" i="8" s="1"/>
  <c r="I15" i="5"/>
  <c r="J15" i="8" s="1"/>
  <c r="M15" i="5"/>
  <c r="M11" i="5"/>
  <c r="M7" i="5"/>
  <c r="M3" i="5"/>
  <c r="C2" i="5"/>
  <c r="D2" i="8" s="1"/>
  <c r="H2" i="5"/>
  <c r="H4" i="5"/>
  <c r="B7" i="5"/>
  <c r="C7" i="5" s="1"/>
  <c r="D7" i="8" s="1"/>
  <c r="F8" i="5"/>
  <c r="B9" i="5"/>
  <c r="C9" i="5" s="1"/>
  <c r="D9" i="8" s="1"/>
  <c r="F10" i="5"/>
  <c r="D16" i="5"/>
  <c r="E16" i="8" s="1"/>
  <c r="M16" i="5"/>
  <c r="H17" i="5"/>
  <c r="Q8" i="8"/>
  <c r="Q16" i="8"/>
  <c r="D3" i="5"/>
  <c r="E3" i="8" s="1"/>
  <c r="H8" i="5"/>
  <c r="F3" i="5"/>
  <c r="D7" i="5"/>
  <c r="E7" i="8" s="1"/>
  <c r="D9" i="5"/>
  <c r="E9" i="8" s="1"/>
  <c r="M9" i="5"/>
  <c r="H10" i="5"/>
  <c r="C11" i="5"/>
  <c r="D11" i="8" s="1"/>
  <c r="H12" i="5"/>
  <c r="B15" i="5"/>
  <c r="F16" i="5"/>
  <c r="B17" i="5"/>
  <c r="B2" i="5"/>
  <c r="B4" i="5"/>
  <c r="F5" i="5"/>
  <c r="F7" i="5"/>
  <c r="J8" i="5"/>
  <c r="K8" i="8" s="1"/>
  <c r="I10" i="5"/>
  <c r="J10" i="8" s="1"/>
  <c r="D11" i="5"/>
  <c r="E11" i="8" s="1"/>
  <c r="I12" i="5"/>
  <c r="J12" i="8" s="1"/>
  <c r="D13" i="5"/>
  <c r="E13" i="8" s="1"/>
  <c r="M13" i="5"/>
  <c r="H14" i="5"/>
  <c r="C15" i="5"/>
  <c r="D15" i="8" s="1"/>
  <c r="H16" i="5"/>
  <c r="C17" i="5"/>
  <c r="D17" i="8" s="1"/>
  <c r="F9" i="5"/>
  <c r="M5" i="5"/>
  <c r="B11" i="5"/>
  <c r="B13" i="5"/>
  <c r="C13" i="5" s="1"/>
  <c r="D13" i="8" s="1"/>
  <c r="F14" i="5"/>
  <c r="M2" i="5"/>
  <c r="D15" i="5"/>
  <c r="E15" i="8" s="1"/>
  <c r="D4" i="5"/>
  <c r="E4" i="8" s="1"/>
  <c r="M4" i="5"/>
  <c r="H5" i="5"/>
  <c r="D6" i="5"/>
  <c r="E6" i="8" s="1"/>
  <c r="M6" i="5"/>
  <c r="H7" i="5"/>
  <c r="C8" i="5"/>
  <c r="D8" i="8" s="1"/>
  <c r="B10" i="5"/>
  <c r="B12" i="5"/>
  <c r="C12" i="5" s="1"/>
  <c r="D12" i="8" s="1"/>
  <c r="F13" i="5"/>
  <c r="J14" i="5"/>
  <c r="K14" i="8" s="1"/>
  <c r="F15" i="5"/>
  <c r="B6" i="5"/>
  <c r="C6" i="5" s="1"/>
  <c r="D6" i="8" s="1"/>
  <c r="F11" i="5"/>
  <c r="M17" i="5"/>
  <c r="Q15" i="8"/>
  <c r="Q7" i="8"/>
  <c r="Q12" i="8"/>
  <c r="Q4" i="8"/>
  <c r="Q17" i="8"/>
  <c r="Q9" i="8"/>
  <c r="Q14" i="8"/>
  <c r="Q13" i="8"/>
  <c r="Q5" i="8"/>
  <c r="Q10" i="8"/>
  <c r="Q2" i="8"/>
  <c r="F2" i="5"/>
  <c r="Q3" i="8"/>
  <c r="Q11" i="8"/>
  <c r="D5" i="5"/>
  <c r="E5" i="8" s="1"/>
  <c r="H6" i="5"/>
  <c r="F12" i="5"/>
  <c r="D2" i="5"/>
  <c r="H3" i="5"/>
  <c r="B8" i="5"/>
  <c r="D17" i="5"/>
  <c r="E17" i="8" s="1"/>
  <c r="D8" i="5"/>
  <c r="E8" i="8" s="1"/>
  <c r="M8" i="5"/>
  <c r="H9" i="5"/>
  <c r="D10" i="5"/>
  <c r="E10" i="8" s="1"/>
  <c r="M10" i="5"/>
  <c r="H11" i="5"/>
  <c r="B14" i="5"/>
  <c r="B16" i="5"/>
  <c r="F17" i="5"/>
  <c r="I17" i="5"/>
  <c r="J17" i="8" s="1"/>
  <c r="I13" i="5"/>
  <c r="J13" i="8" s="1"/>
  <c r="I9" i="5"/>
  <c r="J9" i="8" s="1"/>
  <c r="I5" i="5"/>
  <c r="J5" i="8" s="1"/>
  <c r="B3" i="5"/>
  <c r="F4" i="5"/>
  <c r="B5" i="5"/>
  <c r="C5" i="5" s="1"/>
  <c r="D5" i="8" s="1"/>
  <c r="F6" i="5"/>
  <c r="J7" i="5"/>
  <c r="K7" i="8" s="1"/>
  <c r="J9" i="5"/>
  <c r="K9" i="8" s="1"/>
  <c r="I11" i="5"/>
  <c r="J11" i="8" s="1"/>
  <c r="D12" i="5"/>
  <c r="E12" i="8" s="1"/>
  <c r="M12" i="5"/>
  <c r="H13" i="5"/>
  <c r="D14" i="5"/>
  <c r="E14" i="8" s="1"/>
  <c r="M14" i="5"/>
  <c r="H15" i="5"/>
  <c r="C16" i="5"/>
  <c r="D16" i="8" s="1"/>
  <c r="G13" i="8" l="1"/>
  <c r="N5" i="8"/>
  <c r="N5" i="5"/>
  <c r="C9" i="8"/>
  <c r="E9" i="5"/>
  <c r="I9" i="8"/>
  <c r="G12" i="8"/>
  <c r="N17" i="8"/>
  <c r="N17" i="5"/>
  <c r="C12" i="8"/>
  <c r="E12" i="5"/>
  <c r="G9" i="8"/>
  <c r="I10" i="8"/>
  <c r="G8" i="8"/>
  <c r="I3" i="8"/>
  <c r="I5" i="8"/>
  <c r="I12" i="8"/>
  <c r="G2" i="8"/>
  <c r="G2" i="5"/>
  <c r="H2" i="8" s="1"/>
  <c r="N4" i="8"/>
  <c r="N4" i="5"/>
  <c r="E2" i="5"/>
  <c r="C2" i="8"/>
  <c r="I15" i="8"/>
  <c r="N14" i="8"/>
  <c r="N14" i="5"/>
  <c r="G6" i="8"/>
  <c r="G17" i="8"/>
  <c r="N8" i="8"/>
  <c r="N8" i="5"/>
  <c r="G11" i="8"/>
  <c r="C10" i="8"/>
  <c r="N9" i="8"/>
  <c r="N9" i="5"/>
  <c r="E7" i="5"/>
  <c r="C7" i="8"/>
  <c r="N7" i="8"/>
  <c r="N7" i="5"/>
  <c r="N10" i="8"/>
  <c r="N10" i="5"/>
  <c r="C4" i="8"/>
  <c r="C17" i="8"/>
  <c r="E17" i="5"/>
  <c r="F17" i="8" s="1"/>
  <c r="C10" i="5"/>
  <c r="D10" i="8" s="1"/>
  <c r="C5" i="8"/>
  <c r="E5" i="5"/>
  <c r="C16" i="8"/>
  <c r="E16" i="5"/>
  <c r="I6" i="8"/>
  <c r="C6" i="8"/>
  <c r="E6" i="5"/>
  <c r="I13" i="8"/>
  <c r="B3" i="7"/>
  <c r="C3" i="7" s="1"/>
  <c r="I7" i="8"/>
  <c r="G14" i="8"/>
  <c r="I16" i="8"/>
  <c r="G16" i="8"/>
  <c r="I17" i="8"/>
  <c r="I4" i="8"/>
  <c r="N11" i="8"/>
  <c r="N11" i="5"/>
  <c r="N13" i="8"/>
  <c r="N13" i="5"/>
  <c r="G10" i="8"/>
  <c r="B2" i="7"/>
  <c r="C2" i="7" s="1"/>
  <c r="E2" i="8"/>
  <c r="N2" i="8"/>
  <c r="N2" i="5"/>
  <c r="G4" i="8"/>
  <c r="C14" i="8"/>
  <c r="N12" i="8"/>
  <c r="N12" i="5"/>
  <c r="C3" i="8"/>
  <c r="C8" i="8"/>
  <c r="E8" i="5"/>
  <c r="N6" i="8"/>
  <c r="N6" i="5"/>
  <c r="E13" i="5"/>
  <c r="C13" i="8"/>
  <c r="G7" i="8"/>
  <c r="E15" i="5"/>
  <c r="C15" i="8"/>
  <c r="G3" i="8"/>
  <c r="N16" i="8"/>
  <c r="N16" i="5"/>
  <c r="C3" i="5"/>
  <c r="D3" i="8" s="1"/>
  <c r="C14" i="5"/>
  <c r="D14" i="8" s="1"/>
  <c r="I11" i="8"/>
  <c r="C4" i="5"/>
  <c r="D4" i="8" s="1"/>
  <c r="G15" i="8"/>
  <c r="C11" i="8"/>
  <c r="E11" i="5"/>
  <c r="I14" i="8"/>
  <c r="G5" i="8"/>
  <c r="I8" i="8"/>
  <c r="K2" i="5"/>
  <c r="K3" i="5" s="1"/>
  <c r="I2" i="8"/>
  <c r="N15" i="8"/>
  <c r="N15" i="5"/>
  <c r="N3" i="8"/>
  <c r="N3" i="5"/>
  <c r="G3" i="5" l="1"/>
  <c r="H3" i="8" s="1"/>
  <c r="E14" i="5"/>
  <c r="F14" i="8" s="1"/>
  <c r="L3" i="8"/>
  <c r="G4" i="5"/>
  <c r="H4" i="8" s="1"/>
  <c r="F16" i="8"/>
  <c r="O10" i="8"/>
  <c r="O4" i="8"/>
  <c r="I4" i="5"/>
  <c r="F12" i="8"/>
  <c r="F9" i="8"/>
  <c r="O6" i="8"/>
  <c r="O3" i="8"/>
  <c r="O3" i="5"/>
  <c r="P3" i="8" s="1"/>
  <c r="F8" i="8"/>
  <c r="F15" i="8"/>
  <c r="F5" i="8"/>
  <c r="E10" i="5"/>
  <c r="E4" i="5"/>
  <c r="O13" i="8"/>
  <c r="O15" i="8"/>
  <c r="E3" i="5"/>
  <c r="O2" i="8"/>
  <c r="O2" i="5"/>
  <c r="O11" i="8"/>
  <c r="O7" i="8"/>
  <c r="O14" i="8"/>
  <c r="O17" i="8"/>
  <c r="B7" i="6"/>
  <c r="O5" i="8"/>
  <c r="F2" i="8"/>
  <c r="L2" i="5"/>
  <c r="F11" i="8"/>
  <c r="F6" i="8"/>
  <c r="L2" i="8"/>
  <c r="O16" i="8"/>
  <c r="O12" i="8"/>
  <c r="O8" i="8"/>
  <c r="O9" i="8"/>
  <c r="F13" i="8"/>
  <c r="F7" i="8"/>
  <c r="L4" i="5" l="1"/>
  <c r="F4" i="8"/>
  <c r="F3" i="8"/>
  <c r="L3" i="5"/>
  <c r="M2" i="8"/>
  <c r="B16" i="6"/>
  <c r="P2" i="8"/>
  <c r="F10" i="8"/>
  <c r="J4" i="8"/>
  <c r="K4" i="5"/>
  <c r="S2" i="8" l="1"/>
  <c r="M3" i="8"/>
  <c r="B17" i="6"/>
  <c r="S3" i="8" s="1"/>
  <c r="L4" i="8"/>
  <c r="K5" i="5"/>
  <c r="G5" i="5"/>
  <c r="O4" i="5"/>
  <c r="M4" i="8"/>
  <c r="B18" i="6"/>
  <c r="S4" i="8" s="1"/>
  <c r="L5" i="8" l="1"/>
  <c r="K6" i="5"/>
  <c r="G6" i="5"/>
  <c r="O5" i="5"/>
  <c r="P5" i="8" s="1"/>
  <c r="H5" i="8"/>
  <c r="L5" i="5"/>
  <c r="P4" i="8"/>
  <c r="M5" i="8" l="1"/>
  <c r="B19" i="6"/>
  <c r="H6" i="8"/>
  <c r="L6" i="5"/>
  <c r="L6" i="8"/>
  <c r="G7" i="5"/>
  <c r="O6" i="5"/>
  <c r="I7" i="5"/>
  <c r="P6" i="8" l="1"/>
  <c r="H7" i="8"/>
  <c r="L7" i="5"/>
  <c r="M6" i="8"/>
  <c r="B20" i="6"/>
  <c r="S6" i="8" s="1"/>
  <c r="S5" i="8"/>
  <c r="J7" i="8"/>
  <c r="K7" i="5"/>
  <c r="M7" i="8" l="1"/>
  <c r="B21" i="6"/>
  <c r="S7" i="8" s="1"/>
  <c r="L7" i="8"/>
  <c r="K8" i="5"/>
  <c r="G8" i="5"/>
  <c r="O7" i="5"/>
  <c r="L8" i="8" l="1"/>
  <c r="K9" i="5"/>
  <c r="G9" i="5"/>
  <c r="O8" i="5"/>
  <c r="P8" i="8" s="1"/>
  <c r="P7" i="8"/>
  <c r="H8" i="8"/>
  <c r="L8" i="5"/>
  <c r="H9" i="8" l="1"/>
  <c r="L9" i="5"/>
  <c r="L9" i="8"/>
  <c r="K10" i="5"/>
  <c r="G10" i="5"/>
  <c r="O9" i="5"/>
  <c r="M8" i="8"/>
  <c r="B22" i="6"/>
  <c r="S8" i="8" l="1"/>
  <c r="L10" i="8"/>
  <c r="G11" i="5"/>
  <c r="K11" i="5"/>
  <c r="O10" i="5"/>
  <c r="P10" i="8" s="1"/>
  <c r="P9" i="8"/>
  <c r="M9" i="8"/>
  <c r="B23" i="6"/>
  <c r="S9" i="8" s="1"/>
  <c r="H10" i="8"/>
  <c r="L10" i="5"/>
  <c r="H11" i="8" l="1"/>
  <c r="L11" i="5"/>
  <c r="L11" i="8"/>
  <c r="G12" i="5"/>
  <c r="K12" i="5"/>
  <c r="O11" i="5"/>
  <c r="P11" i="8" s="1"/>
  <c r="M10" i="8"/>
  <c r="B24" i="6"/>
  <c r="M11" i="8" l="1"/>
  <c r="B25" i="6"/>
  <c r="S11" i="8" s="1"/>
  <c r="S10" i="8"/>
  <c r="L12" i="8"/>
  <c r="G13" i="5"/>
  <c r="K13" i="5"/>
  <c r="O12" i="5"/>
  <c r="P12" i="8" s="1"/>
  <c r="H12" i="8"/>
  <c r="L12" i="5"/>
  <c r="H13" i="8" l="1"/>
  <c r="L13" i="5"/>
  <c r="L13" i="8"/>
  <c r="G14" i="5"/>
  <c r="K14" i="5"/>
  <c r="O13" i="5"/>
  <c r="P13" i="8" s="1"/>
  <c r="M12" i="8"/>
  <c r="B26" i="6"/>
  <c r="S12" i="8" s="1"/>
  <c r="H14" i="8" l="1"/>
  <c r="L14" i="5"/>
  <c r="L14" i="8"/>
  <c r="G15" i="5"/>
  <c r="K15" i="5"/>
  <c r="O14" i="5"/>
  <c r="P14" i="8" s="1"/>
  <c r="M13" i="8"/>
  <c r="B27" i="6"/>
  <c r="S13" i="8" s="1"/>
  <c r="H15" i="8" l="1"/>
  <c r="L15" i="5"/>
  <c r="L15" i="8"/>
  <c r="K16" i="5"/>
  <c r="G16" i="5"/>
  <c r="O15" i="5"/>
  <c r="P15" i="8" s="1"/>
  <c r="M14" i="8"/>
  <c r="B28" i="6"/>
  <c r="S14" i="8" s="1"/>
  <c r="H16" i="8" l="1"/>
  <c r="L16" i="5"/>
  <c r="L16" i="8"/>
  <c r="K17" i="5"/>
  <c r="G17" i="5"/>
  <c r="H17" i="8" s="1"/>
  <c r="O16" i="5"/>
  <c r="P16" i="8" s="1"/>
  <c r="B29" i="6"/>
  <c r="S15" i="8" s="1"/>
  <c r="M15" i="8"/>
  <c r="L17" i="8" l="1"/>
  <c r="B8" i="6"/>
  <c r="O17" i="5"/>
  <c r="L17" i="5"/>
  <c r="B9" i="6"/>
  <c r="B4" i="6"/>
  <c r="M16" i="8"/>
  <c r="B30" i="6"/>
  <c r="S16" i="8" s="1"/>
  <c r="M17" i="8" l="1"/>
  <c r="B31" i="6"/>
  <c r="B3" i="6"/>
  <c r="B12" i="6" s="1"/>
  <c r="P17" i="8"/>
  <c r="B6" i="6"/>
  <c r="B5" i="6"/>
  <c r="S17" i="8" l="1"/>
  <c r="B13" i="6"/>
  <c r="B6" i="7" l="1"/>
  <c r="C6" i="7" s="1"/>
  <c r="B7" i="7"/>
  <c r="C7" i="7" s="1"/>
</calcChain>
</file>

<file path=xl/sharedStrings.xml><?xml version="1.0" encoding="utf-8"?>
<sst xmlns="http://schemas.openxmlformats.org/spreadsheetml/2006/main" count="175" uniqueCount="163">
  <si>
    <t>Input</t>
  </si>
  <si>
    <t>Value</t>
  </si>
  <si>
    <t>Notes</t>
  </si>
  <si>
    <t>Scenario &amp; Horizon</t>
  </si>
  <si>
    <t>Scenario</t>
  </si>
  <si>
    <t>Base</t>
  </si>
  <si>
    <t>Select: Base / CEG / Flat / Downside</t>
  </si>
  <si>
    <t>Currency</t>
  </si>
  <si>
    <t>USD</t>
  </si>
  <si>
    <t>PIR modelling currency</t>
  </si>
  <si>
    <t>FYE Month/Day</t>
  </si>
  <si>
    <t>30.09</t>
  </si>
  <si>
    <t>Financial year end (PIR: 30 Sep)</t>
  </si>
  <si>
    <t>First Projection FY</t>
  </si>
  <si>
    <t>Entry FY</t>
  </si>
  <si>
    <t>Last Projection FY</t>
  </si>
  <si>
    <t>Exit FY</t>
  </si>
  <si>
    <t>Debt Facility (PIR-aligned inputs)</t>
  </si>
  <si>
    <t>Entry Debt (USD m)</t>
  </si>
  <si>
    <t>Pre-Securitisation Debt Facility (PIR)</t>
  </si>
  <si>
    <t>Entry EV (USD m)</t>
  </si>
  <si>
    <t>Implied by 50% LTV at entry</t>
  </si>
  <si>
    <t>Recap Target LTV</t>
  </si>
  <si>
    <t>Recap years: set Debt to 60% of NAV</t>
  </si>
  <si>
    <t>Recap Years (comma)</t>
  </si>
  <si>
    <t>2026,2029</t>
  </si>
  <si>
    <t>If scenario allows refi/recap</t>
  </si>
  <si>
    <t>Cash Sweep Start FY (Flat/Downside)</t>
  </si>
  <si>
    <t>PIR: from Year 4 onward use 100% FCF for debt amortisation</t>
  </si>
  <si>
    <t>Covenants (optional, if you want explicit tests)</t>
  </si>
  <si>
    <t>LTV Covenant</t>
  </si>
  <si>
    <t>If LTV &gt; covenant =&gt; sweep/trap</t>
  </si>
  <si>
    <t>ICR Trap</t>
  </si>
  <si>
    <t>ICR &lt; 1.35 =&gt; 100% cash trap</t>
  </si>
  <si>
    <t>ICR Sweep</t>
  </si>
  <si>
    <t>ICR &lt; 1.25 =&gt; 100% cash sweep</t>
  </si>
  <si>
    <t>ICR Default</t>
  </si>
  <si>
    <t>ICR &lt; 1.10 =&gt; EoD</t>
  </si>
  <si>
    <t>Fees (catalog/consortium level)</t>
  </si>
  <si>
    <t>Operating Fee %</t>
  </si>
  <si>
    <t>PIR: 5% on Net Cashflows to Consortium</t>
  </si>
  <si>
    <t>Consortium Fees (USD m)</t>
  </si>
  <si>
    <t>Approx 80k p.a.; keep editable</t>
  </si>
  <si>
    <t>Strict PIR Mode</t>
  </si>
  <si>
    <t>YES</t>
  </si>
  <si>
    <t>YES: require Consortium Fees + FCF of Catalog to be pasted for all FYs. Operating Fee defaults to 5% if blank.</t>
  </si>
  <si>
    <t>Consortium Equity (USD m)</t>
  </si>
  <si>
    <t>PIR: PG &amp; Co-investors consortium equity ticket (modelled ~99.4m)</t>
  </si>
  <si>
    <t>Total Consortium Equity (USD m)</t>
  </si>
  <si>
    <t>PIR: total consortium equity (for scaling PG &amp; Co-investor share).</t>
  </si>
  <si>
    <t>PG &amp; Co-investor share of consortium</t>
  </si>
  <si>
    <t>Used to scale distributions/terminal value to PG &amp; Co-investors.</t>
  </si>
  <si>
    <t>Step</t>
  </si>
  <si>
    <t>What to do (in Excel)</t>
  </si>
  <si>
    <t>Why it matters for Python</t>
  </si>
  <si>
    <t>1) Fill Inputs</t>
  </si>
  <si>
    <t>In 01_Inputs: set Scenario, FY start/end, equity ticket, debt rules, fee assumptions, Strict flag.</t>
  </si>
  <si>
    <t>Defines deterministic baseline; Python will load these cells as scalar inputs.</t>
  </si>
  <si>
    <t>2) Paste PIR rows</t>
  </si>
  <si>
    <t>In 02_PIR_Data_Paste: paste FY24–FY39 rows for each scenario (Net CF, Interest %, NAV Multiple, Mandatory Amort; plus Consortium Fees / FCF of Catalog if Strict=YES).</t>
  </si>
  <si>
    <t>Python needs the same year-by-year driver series; prevents hidden hardcoding.</t>
  </si>
  <si>
    <t>3) Validate mapping</t>
  </si>
  <si>
    <t>In 03_Map: confirm Scenario selector points to the correct start row for the chosen scenario; recap years list correct.</t>
  </si>
  <si>
    <t>Avoids off-by-one errors when Python reproduces the mapping logic.</t>
  </si>
  <si>
    <t>4) Check engine outputs</t>
  </si>
  <si>
    <t>In 04_Waterfall: scan that Net CF, Op Fee, Fees, Interest, Debt End, NAV, LTV populate (no blanks/#N/A).</t>
  </si>
  <si>
    <t>Ensures the Excel “ground truth” is coherent before porting.</t>
  </si>
  <si>
    <t>5) Review KPIs</t>
  </si>
  <si>
    <t>In 05_Outputs: confirm MOIC/IRR and equity cashflow line are populated and plausible.</t>
  </si>
  <si>
    <t>These become your unit tests for Python.</t>
  </si>
  <si>
    <t>6) Run checks</t>
  </si>
  <si>
    <t>In 06_Checks: ensure all relevant Status cells are OK (or INFO where intended). Fix any FIX flags before exporting.</t>
  </si>
  <si>
    <t>Prevents importing incomplete scenarios into Python.</t>
  </si>
  <si>
    <t>7) Use Export sheet</t>
  </si>
  <si>
    <t>In 07_Export: use the tidy table (one row per FY) as the single data feed; then Save As → CSV (or read xlsx directly in pandas).</t>
  </si>
  <si>
    <t>Gives Python a stable schema (columns won’t move even if model layout changes).</t>
  </si>
  <si>
    <t>8) Python sanity test</t>
  </si>
  <si>
    <t>In Python: read 07_Export and replicate 04_Waterfall + 05_Outputs deterministically (no randomness). Compare series &amp; KPIs to Excel.</t>
  </si>
  <si>
    <t>Locks correctness before you add Monte Carlo / stochastic drivers.</t>
  </si>
  <si>
    <t>Tip</t>
  </si>
  <si>
    <t>Keep Excel as the deterministic reference. Only once Python matches 04_Waterfall row-by-row and 05_Outputs KPIs, introduce stochasticity (e.g., Monte Carlo on revenue/Net CF or macro factors).</t>
  </si>
  <si>
    <t>Base (paste from PIR tables, FY24–FY39)</t>
  </si>
  <si>
    <t>CEG (paste from PIR tables, FY24–FY39)</t>
  </si>
  <si>
    <t>Flat (paste from PIR tables, FY24–FY39)</t>
  </si>
  <si>
    <t>Downside (paste from PIR tables, FY24–FY39)</t>
  </si>
  <si>
    <t>Active Scenario</t>
  </si>
  <si>
    <t>Active Start Row</t>
  </si>
  <si>
    <t>HeaderRow</t>
  </si>
  <si>
    <t>CEG</t>
  </si>
  <si>
    <t>Recap Years</t>
  </si>
  <si>
    <t>Flat</t>
  </si>
  <si>
    <t>Recap Token</t>
  </si>
  <si>
    <t>Downside</t>
  </si>
  <si>
    <t>Compatibility</t>
  </si>
  <si>
    <t>Replaced INDEX with INDEX/MATCH to avoid #NAME? on older Excel.</t>
  </si>
  <si>
    <t>FY</t>
  </si>
  <si>
    <t>Net CF to Consortium</t>
  </si>
  <si>
    <t>Op Fee</t>
  </si>
  <si>
    <t>Consortium Fees</t>
  </si>
  <si>
    <t>CF after Fees</t>
  </si>
  <si>
    <t>Interest Rate</t>
  </si>
  <si>
    <t>Interest Cost</t>
  </si>
  <si>
    <t>Mandatory Amort</t>
  </si>
  <si>
    <t>Recap ΔDebt</t>
  </si>
  <si>
    <t>Cash Sweep</t>
  </si>
  <si>
    <t>Debt End</t>
  </si>
  <si>
    <t>FCF for Distribution</t>
  </si>
  <si>
    <t>NAV Multiple</t>
  </si>
  <si>
    <t>NAV</t>
  </si>
  <si>
    <t>LTV</t>
  </si>
  <si>
    <t>Metric</t>
  </si>
  <si>
    <t>Total Distributions (USD m)</t>
  </si>
  <si>
    <t>PG &amp; Co-investor share * consortium distributions (incl. terminal).</t>
  </si>
  <si>
    <t>Max Debt (USD m)</t>
  </si>
  <si>
    <t>Min LTV</t>
  </si>
  <si>
    <t>Max LTV</t>
  </si>
  <si>
    <t>Exit NAV (FY39)</t>
  </si>
  <si>
    <t>Exit Debt (FY39)</t>
  </si>
  <si>
    <t>Net Equity Value at Exit</t>
  </si>
  <si>
    <t>Scaled by PG &amp; Co-investor share.</t>
  </si>
  <si>
    <t>Paste PIR year-by-year rows into 02_PIR_Data_Paste for each scenario. This template does not invent any numbers.</t>
  </si>
  <si>
    <t>Equity Ticket (USD m)</t>
  </si>
  <si>
    <t>MOIC (Distributions / Equity)</t>
  </si>
  <si>
    <t>IRR (annual)</t>
  </si>
  <si>
    <t>Equity CF (USD m)</t>
  </si>
  <si>
    <t>Check</t>
  </si>
  <si>
    <t>Result</t>
  </si>
  <si>
    <t>Status</t>
  </si>
  <si>
    <t>Action</t>
  </si>
  <si>
    <t>Consortium Fees pasted (all FYs, active scenario)</t>
  </si>
  <si>
    <t>If Strict=YES, paste PIR 'Consortium Fees' row (USD m) for FY24–FY39.</t>
  </si>
  <si>
    <t>FCF of Catalog pasted (Flat/Downside sweep relies on it)</t>
  </si>
  <si>
    <t>If Strict=YES, paste PIR 'Free Cash Flow of Catalog' row (USD m).</t>
  </si>
  <si>
    <t>Operating Fee override usage (optional)</t>
  </si>
  <si>
    <t>INFO</t>
  </si>
  <si>
    <t>You may paste Operating Fee row; otherwise model uses 5% of Net CF to Consortium.</t>
  </si>
  <si>
    <t>Export table complete (no blanks)</t>
  </si>
  <si>
    <t>If FIX: ensure 07_Export has 16 FY rows (2024–2039) and no blanks/hidden #N/A.</t>
  </si>
  <si>
    <t>Export table error-free (#N/A/#REF/etc.)</t>
  </si>
  <si>
    <t>If FIX: trace upstream formulas in 04_Waterfall / 05_Outputs.</t>
  </si>
  <si>
    <t>Net_CF_to_Consortium</t>
  </si>
  <si>
    <t>Op_Fee</t>
  </si>
  <si>
    <t>Consortium_Fees</t>
  </si>
  <si>
    <t>CF_after_Fees</t>
  </si>
  <si>
    <t>Interest_Rate</t>
  </si>
  <si>
    <t>Interest_Cost</t>
  </si>
  <si>
    <t>Mandatory_Amort</t>
  </si>
  <si>
    <t>Recap_DeltaDebt</t>
  </si>
  <si>
    <t>Cash_Sweep</t>
  </si>
  <si>
    <t>Debt_End</t>
  </si>
  <si>
    <t>FCF_for_Distribution</t>
  </si>
  <si>
    <t>NAV_Multiple</t>
  </si>
  <si>
    <t>PG_Share</t>
  </si>
  <si>
    <t>Equity_Ticket</t>
  </si>
  <si>
    <t>Equity_CF</t>
  </si>
  <si>
    <t>How to use</t>
  </si>
  <si>
    <t>Python data feed: read table A1:S17. For CSV: File → Save As → CSV (UTF-8). In Python: pandas.read_excel(..., sheet_name='07_Export') or read_csv on exported file.</t>
  </si>
  <si>
    <t xml:space="preserve">Net Cashflow to Consurtium </t>
  </si>
  <si>
    <t>Interest Rate (%)</t>
  </si>
  <si>
    <t>Mandatory Amortisation</t>
  </si>
  <si>
    <t>Operating Fee Override</t>
  </si>
  <si>
    <t>Consortium Fees Override</t>
  </si>
  <si>
    <t>FCF Catalogue / Valuation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</si>
</sst>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\x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64" fontId="0" fillId="3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3" borderId="1" xfId="0" applyNumberFormat="1" applyFill="1" applyBorder="1" applyAlignment="1">
      <alignment vertical="center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baseColWidth="10" defaultColWidth="9" defaultRowHeight="15" x14ac:dyDescent="0.25"/>
  <cols>
    <col min="1" max="1" width="14" customWidth="1"/>
    <col min="2" max="2" width="58" customWidth="1"/>
    <col min="3" max="3" width="46" customWidth="1"/>
  </cols>
  <sheetData>
    <row r="1" spans="1:3" ht="20.100000000000001" customHeight="1" x14ac:dyDescent="0.25">
      <c r="A1" s="1" t="s">
        <v>52</v>
      </c>
      <c r="B1" s="1" t="s">
        <v>53</v>
      </c>
      <c r="C1" s="1" t="s">
        <v>54</v>
      </c>
    </row>
    <row r="2" spans="1:3" ht="36" customHeight="1" x14ac:dyDescent="0.25">
      <c r="A2" s="20" t="s">
        <v>55</v>
      </c>
      <c r="B2" s="20" t="s">
        <v>56</v>
      </c>
      <c r="C2" s="20" t="s">
        <v>57</v>
      </c>
    </row>
    <row r="3" spans="1:3" ht="36" customHeight="1" x14ac:dyDescent="0.25">
      <c r="A3" s="20" t="s">
        <v>58</v>
      </c>
      <c r="B3" s="20" t="s">
        <v>59</v>
      </c>
      <c r="C3" s="20" t="s">
        <v>60</v>
      </c>
    </row>
    <row r="4" spans="1:3" ht="36" customHeight="1" x14ac:dyDescent="0.25">
      <c r="A4" s="20" t="s">
        <v>61</v>
      </c>
      <c r="B4" s="20" t="s">
        <v>62</v>
      </c>
      <c r="C4" s="20" t="s">
        <v>63</v>
      </c>
    </row>
    <row r="5" spans="1:3" ht="36" customHeight="1" x14ac:dyDescent="0.25">
      <c r="A5" s="20" t="s">
        <v>64</v>
      </c>
      <c r="B5" s="20" t="s">
        <v>65</v>
      </c>
      <c r="C5" s="20" t="s">
        <v>66</v>
      </c>
    </row>
    <row r="6" spans="1:3" ht="36" customHeight="1" x14ac:dyDescent="0.25">
      <c r="A6" s="20" t="s">
        <v>67</v>
      </c>
      <c r="B6" s="20" t="s">
        <v>68</v>
      </c>
      <c r="C6" s="20" t="s">
        <v>69</v>
      </c>
    </row>
    <row r="7" spans="1:3" ht="36" customHeight="1" x14ac:dyDescent="0.25">
      <c r="A7" s="20" t="s">
        <v>70</v>
      </c>
      <c r="B7" s="20" t="s">
        <v>71</v>
      </c>
      <c r="C7" s="20" t="s">
        <v>72</v>
      </c>
    </row>
    <row r="8" spans="1:3" ht="36" customHeight="1" x14ac:dyDescent="0.25">
      <c r="A8" s="20" t="s">
        <v>73</v>
      </c>
      <c r="B8" s="20" t="s">
        <v>74</v>
      </c>
      <c r="C8" s="20" t="s">
        <v>75</v>
      </c>
    </row>
    <row r="9" spans="1:3" ht="36" customHeight="1" x14ac:dyDescent="0.25">
      <c r="A9" s="20" t="s">
        <v>76</v>
      </c>
      <c r="B9" s="20" t="s">
        <v>77</v>
      </c>
      <c r="C9" s="20" t="s">
        <v>78</v>
      </c>
    </row>
    <row r="12" spans="1:3" ht="40.15" customHeight="1" x14ac:dyDescent="0.25">
      <c r="A12" s="21" t="s">
        <v>79</v>
      </c>
      <c r="B12" s="31" t="s">
        <v>80</v>
      </c>
      <c r="C12" s="32"/>
    </row>
  </sheetData>
  <mergeCells count="1"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pane ySplit="1" topLeftCell="A2" activePane="bottomLeft" state="frozen"/>
      <selection pane="bottomLeft" activeCell="K16" sqref="K16"/>
    </sheetView>
  </sheetViews>
  <sheetFormatPr baseColWidth="10" defaultColWidth="9" defaultRowHeight="15" x14ac:dyDescent="0.25"/>
  <cols>
    <col min="1" max="1" width="36" customWidth="1"/>
    <col min="2" max="2" width="20" customWidth="1"/>
    <col min="3" max="3" width="60" customWidth="1"/>
    <col min="4" max="6" width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3" spans="1:6" ht="22.15" customHeight="1" x14ac:dyDescent="0.25">
      <c r="A3" s="33" t="s">
        <v>3</v>
      </c>
      <c r="B3" s="29"/>
      <c r="C3" s="29"/>
      <c r="D3" s="29"/>
      <c r="E3" s="29"/>
      <c r="F3" s="30"/>
    </row>
    <row r="5" spans="1:6" x14ac:dyDescent="0.25">
      <c r="A5" s="2" t="s">
        <v>4</v>
      </c>
      <c r="B5" s="3" t="s">
        <v>5</v>
      </c>
      <c r="C5" s="4" t="s">
        <v>6</v>
      </c>
      <c r="D5" s="4"/>
      <c r="E5" s="4"/>
      <c r="F5" s="4"/>
    </row>
    <row r="6" spans="1:6" x14ac:dyDescent="0.25">
      <c r="A6" s="2" t="s">
        <v>7</v>
      </c>
      <c r="B6" s="3" t="s">
        <v>8</v>
      </c>
      <c r="C6" s="4" t="s">
        <v>9</v>
      </c>
      <c r="D6" s="4"/>
      <c r="E6" s="4"/>
      <c r="F6" s="4"/>
    </row>
    <row r="7" spans="1:6" x14ac:dyDescent="0.25">
      <c r="A7" s="2" t="s">
        <v>10</v>
      </c>
      <c r="B7" s="3" t="s">
        <v>11</v>
      </c>
      <c r="C7" s="4" t="s">
        <v>12</v>
      </c>
      <c r="D7" s="4"/>
      <c r="E7" s="4"/>
      <c r="F7" s="4"/>
    </row>
    <row r="8" spans="1:6" x14ac:dyDescent="0.25">
      <c r="A8" s="2" t="s">
        <v>13</v>
      </c>
      <c r="B8" s="3">
        <v>2024</v>
      </c>
      <c r="C8" s="4" t="s">
        <v>14</v>
      </c>
      <c r="D8" s="4"/>
      <c r="E8" s="4"/>
      <c r="F8" s="4"/>
    </row>
    <row r="9" spans="1:6" x14ac:dyDescent="0.25">
      <c r="A9" s="2" t="s">
        <v>15</v>
      </c>
      <c r="B9" s="3">
        <v>2039</v>
      </c>
      <c r="C9" s="4" t="s">
        <v>16</v>
      </c>
      <c r="D9" s="4"/>
      <c r="E9" s="4"/>
      <c r="F9" s="4"/>
    </row>
    <row r="11" spans="1:6" ht="22.15" customHeight="1" x14ac:dyDescent="0.25">
      <c r="A11" s="33" t="s">
        <v>17</v>
      </c>
      <c r="B11" s="29"/>
      <c r="C11" s="29"/>
      <c r="D11" s="29"/>
      <c r="E11" s="29"/>
      <c r="F11" s="30"/>
    </row>
    <row r="13" spans="1:6" x14ac:dyDescent="0.25">
      <c r="A13" s="2" t="s">
        <v>18</v>
      </c>
      <c r="B13" s="3">
        <v>325</v>
      </c>
      <c r="C13" s="4" t="s">
        <v>19</v>
      </c>
      <c r="D13" s="4"/>
      <c r="E13" s="4"/>
      <c r="F13" s="4"/>
    </row>
    <row r="14" spans="1:6" x14ac:dyDescent="0.25">
      <c r="A14" s="2" t="s">
        <v>20</v>
      </c>
      <c r="B14" s="3">
        <v>650</v>
      </c>
      <c r="C14" s="4" t="s">
        <v>21</v>
      </c>
      <c r="D14" s="4"/>
      <c r="E14" s="4"/>
      <c r="F14" s="4"/>
    </row>
    <row r="15" spans="1:6" x14ac:dyDescent="0.25">
      <c r="A15" s="2" t="s">
        <v>22</v>
      </c>
      <c r="B15" s="3">
        <v>0.6</v>
      </c>
      <c r="C15" s="4" t="s">
        <v>23</v>
      </c>
      <c r="D15" s="4"/>
      <c r="E15" s="4"/>
      <c r="F15" s="4"/>
    </row>
    <row r="16" spans="1:6" x14ac:dyDescent="0.25">
      <c r="A16" s="2" t="s">
        <v>24</v>
      </c>
      <c r="B16" s="3" t="s">
        <v>25</v>
      </c>
      <c r="C16" s="4" t="s">
        <v>26</v>
      </c>
      <c r="D16" s="4"/>
      <c r="E16" s="4"/>
      <c r="F16" s="4"/>
    </row>
    <row r="17" spans="1:6" x14ac:dyDescent="0.25">
      <c r="A17" s="2" t="s">
        <v>27</v>
      </c>
      <c r="B17" s="3">
        <v>2027</v>
      </c>
      <c r="C17" s="4" t="s">
        <v>28</v>
      </c>
      <c r="D17" s="4"/>
      <c r="E17" s="4"/>
      <c r="F17" s="4"/>
    </row>
    <row r="19" spans="1:6" ht="22.15" customHeight="1" x14ac:dyDescent="0.25">
      <c r="A19" s="33" t="s">
        <v>29</v>
      </c>
      <c r="B19" s="29"/>
      <c r="C19" s="29"/>
      <c r="D19" s="29"/>
      <c r="E19" s="29"/>
      <c r="F19" s="30"/>
    </row>
    <row r="21" spans="1:6" x14ac:dyDescent="0.25">
      <c r="A21" s="2" t="s">
        <v>30</v>
      </c>
      <c r="B21" s="3">
        <v>0.6</v>
      </c>
      <c r="C21" s="4" t="s">
        <v>31</v>
      </c>
      <c r="D21" s="4"/>
      <c r="E21" s="4"/>
      <c r="F21" s="4"/>
    </row>
    <row r="22" spans="1:6" x14ac:dyDescent="0.25">
      <c r="A22" s="2" t="s">
        <v>32</v>
      </c>
      <c r="B22" s="3">
        <v>1.35</v>
      </c>
      <c r="C22" s="4" t="s">
        <v>33</v>
      </c>
      <c r="D22" s="4"/>
      <c r="E22" s="4"/>
      <c r="F22" s="4"/>
    </row>
    <row r="23" spans="1:6" x14ac:dyDescent="0.25">
      <c r="A23" s="2" t="s">
        <v>34</v>
      </c>
      <c r="B23" s="3">
        <v>1.25</v>
      </c>
      <c r="C23" s="4" t="s">
        <v>35</v>
      </c>
      <c r="D23" s="4"/>
      <c r="E23" s="4"/>
      <c r="F23" s="4"/>
    </row>
    <row r="24" spans="1:6" x14ac:dyDescent="0.25">
      <c r="A24" s="2" t="s">
        <v>36</v>
      </c>
      <c r="B24" s="3">
        <v>1.1000000000000001</v>
      </c>
      <c r="C24" s="4" t="s">
        <v>37</v>
      </c>
      <c r="D24" s="4"/>
      <c r="E24" s="4"/>
      <c r="F24" s="4"/>
    </row>
    <row r="26" spans="1:6" ht="22.15" customHeight="1" x14ac:dyDescent="0.25">
      <c r="A26" s="33" t="s">
        <v>38</v>
      </c>
      <c r="B26" s="29"/>
      <c r="C26" s="29"/>
      <c r="D26" s="29"/>
      <c r="E26" s="29"/>
      <c r="F26" s="30"/>
    </row>
    <row r="28" spans="1:6" x14ac:dyDescent="0.25">
      <c r="A28" s="2" t="s">
        <v>39</v>
      </c>
      <c r="B28" s="3">
        <v>0.05</v>
      </c>
      <c r="C28" s="4" t="s">
        <v>40</v>
      </c>
      <c r="D28" s="4"/>
      <c r="E28" s="4"/>
      <c r="F28" s="4"/>
    </row>
    <row r="29" spans="1:6" x14ac:dyDescent="0.25">
      <c r="A29" s="2" t="s">
        <v>41</v>
      </c>
      <c r="B29" s="3">
        <v>0.08</v>
      </c>
      <c r="C29" s="4" t="s">
        <v>42</v>
      </c>
      <c r="D29" s="4"/>
      <c r="E29" s="4"/>
      <c r="F29" s="4"/>
    </row>
    <row r="31" spans="1:6" ht="28.5" customHeight="1" x14ac:dyDescent="0.25">
      <c r="A31" s="2" t="s">
        <v>43</v>
      </c>
      <c r="B31" s="3" t="s">
        <v>44</v>
      </c>
      <c r="C31" s="4" t="s">
        <v>45</v>
      </c>
    </row>
    <row r="33" spans="1:3" x14ac:dyDescent="0.25">
      <c r="A33" t="s">
        <v>46</v>
      </c>
      <c r="B33" s="16">
        <v>99.4</v>
      </c>
      <c r="C33" t="s">
        <v>47</v>
      </c>
    </row>
    <row r="34" spans="1:3" x14ac:dyDescent="0.25">
      <c r="A34" t="s">
        <v>48</v>
      </c>
      <c r="B34" s="16">
        <v>336.5</v>
      </c>
      <c r="C34" t="s">
        <v>49</v>
      </c>
    </row>
    <row r="35" spans="1:3" x14ac:dyDescent="0.25">
      <c r="A35" t="s">
        <v>50</v>
      </c>
      <c r="B35" s="16">
        <f>IF(B34=0,0,B33/B34)</f>
        <v>0.29539375928677564</v>
      </c>
      <c r="C35" t="s">
        <v>51</v>
      </c>
    </row>
  </sheetData>
  <mergeCells count="4">
    <mergeCell ref="A3:F3"/>
    <mergeCell ref="A26:F26"/>
    <mergeCell ref="A11:F11"/>
    <mergeCell ref="A19:F19"/>
  </mergeCells>
  <dataValidations count="1">
    <dataValidation type="list" sqref="B5" xr:uid="{00000000-0002-0000-0100-000000000000}">
      <formula1>"Base,CEG,Flat,Downside"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workbookViewId="0">
      <pane ySplit="1" topLeftCell="A22" activePane="bottomLeft" state="frozen"/>
      <selection activeCell="C39" sqref="C39"/>
      <selection pane="bottomLeft" activeCell="H77" sqref="H77"/>
    </sheetView>
  </sheetViews>
  <sheetFormatPr baseColWidth="10" defaultColWidth="9" defaultRowHeight="15" x14ac:dyDescent="0.25"/>
  <cols>
    <col min="1" max="1" width="8" customWidth="1"/>
    <col min="2" max="2" width="30" customWidth="1"/>
    <col min="3" max="4" width="16" customWidth="1"/>
    <col min="5" max="5" width="26" customWidth="1"/>
    <col min="6" max="6" width="18" customWidth="1"/>
    <col min="7" max="7" width="22" customWidth="1"/>
    <col min="8" max="8" width="26" customWidth="1"/>
  </cols>
  <sheetData>
    <row r="1" spans="1:8" x14ac:dyDescent="0.25">
      <c r="A1" s="28" t="s">
        <v>81</v>
      </c>
      <c r="B1" s="29"/>
      <c r="C1" s="29"/>
      <c r="D1" s="29"/>
      <c r="E1" s="29"/>
      <c r="F1" s="29"/>
      <c r="G1" s="29"/>
      <c r="H1" s="30"/>
    </row>
    <row r="2" spans="1:8" x14ac:dyDescent="0.25">
      <c r="A2" s="5">
        <v>2024</v>
      </c>
      <c r="B2" s="6">
        <v>46.8</v>
      </c>
      <c r="C2" s="15">
        <v>6.2E-2</v>
      </c>
      <c r="D2" s="7">
        <v>14</v>
      </c>
      <c r="E2" s="6">
        <v>0</v>
      </c>
      <c r="F2" s="6"/>
      <c r="G2" s="6">
        <v>0.2</v>
      </c>
      <c r="H2" s="6">
        <v>27.6</v>
      </c>
    </row>
    <row r="3" spans="1:8" x14ac:dyDescent="0.25">
      <c r="A3" s="5">
        <v>2025</v>
      </c>
      <c r="B3" s="6">
        <v>50.3</v>
      </c>
      <c r="C3" s="15">
        <v>5.6000000000000001E-2</v>
      </c>
      <c r="D3" s="7">
        <v>14</v>
      </c>
      <c r="E3" s="6">
        <v>0</v>
      </c>
      <c r="F3" s="6"/>
      <c r="G3" s="6">
        <v>0</v>
      </c>
      <c r="H3" s="6">
        <v>29.5</v>
      </c>
    </row>
    <row r="4" spans="1:8" x14ac:dyDescent="0.25">
      <c r="A4" s="5">
        <v>2026</v>
      </c>
      <c r="B4" s="6">
        <v>53.7</v>
      </c>
      <c r="C4" s="15">
        <v>5.7000000000000002E-2</v>
      </c>
      <c r="D4" s="7">
        <v>14</v>
      </c>
      <c r="E4" s="6">
        <v>0</v>
      </c>
      <c r="F4" s="6"/>
      <c r="G4" s="6">
        <v>0</v>
      </c>
      <c r="H4" s="6">
        <v>28.7</v>
      </c>
    </row>
    <row r="5" spans="1:8" x14ac:dyDescent="0.25">
      <c r="A5" s="5">
        <v>2027</v>
      </c>
      <c r="B5" s="6">
        <v>56.3</v>
      </c>
      <c r="C5" s="15">
        <v>5.7000000000000002E-2</v>
      </c>
      <c r="D5" s="7">
        <v>14</v>
      </c>
      <c r="E5" s="6">
        <v>0</v>
      </c>
      <c r="F5" s="6"/>
      <c r="G5" s="6">
        <v>0</v>
      </c>
      <c r="H5" s="6">
        <v>30.3</v>
      </c>
    </row>
    <row r="6" spans="1:8" x14ac:dyDescent="0.25">
      <c r="A6" s="5">
        <v>2028</v>
      </c>
      <c r="B6" s="6">
        <v>58.3</v>
      </c>
      <c r="C6" s="15">
        <v>5.8999999999999997E-2</v>
      </c>
      <c r="D6" s="7">
        <v>13.6</v>
      </c>
      <c r="E6" s="6">
        <v>0</v>
      </c>
      <c r="F6" s="6"/>
      <c r="G6" s="6">
        <v>0</v>
      </c>
      <c r="H6" s="6">
        <v>28.9</v>
      </c>
    </row>
    <row r="7" spans="1:8" x14ac:dyDescent="0.25">
      <c r="A7" s="5">
        <v>2029</v>
      </c>
      <c r="B7" s="6">
        <v>59.5</v>
      </c>
      <c r="C7" s="15">
        <v>5.8999999999999997E-2</v>
      </c>
      <c r="D7" s="7">
        <v>13.2</v>
      </c>
      <c r="E7" s="6">
        <v>0</v>
      </c>
      <c r="F7" s="6"/>
      <c r="G7" s="6">
        <v>0</v>
      </c>
      <c r="H7" s="6">
        <v>28.3</v>
      </c>
    </row>
    <row r="8" spans="1:8" x14ac:dyDescent="0.25">
      <c r="A8" s="5">
        <v>2030</v>
      </c>
      <c r="B8" s="6">
        <v>60.3</v>
      </c>
      <c r="C8" s="15">
        <v>0.06</v>
      </c>
      <c r="D8" s="7">
        <v>12.8</v>
      </c>
      <c r="E8" s="6">
        <v>0</v>
      </c>
      <c r="F8" s="6"/>
      <c r="G8" s="6">
        <v>0</v>
      </c>
      <c r="H8" s="6">
        <v>28.8</v>
      </c>
    </row>
    <row r="9" spans="1:8" x14ac:dyDescent="0.25">
      <c r="A9" s="5">
        <v>2031</v>
      </c>
      <c r="B9" s="6">
        <v>61.2</v>
      </c>
      <c r="C9" s="15">
        <v>0.06</v>
      </c>
      <c r="D9" s="7">
        <v>12.4</v>
      </c>
      <c r="E9" s="6">
        <v>0</v>
      </c>
      <c r="F9" s="6"/>
      <c r="G9" s="6">
        <v>0</v>
      </c>
      <c r="H9" s="6">
        <v>29.4</v>
      </c>
    </row>
    <row r="10" spans="1:8" x14ac:dyDescent="0.25">
      <c r="A10" s="5">
        <v>2032</v>
      </c>
      <c r="B10" s="6">
        <v>62.2</v>
      </c>
      <c r="C10" s="15">
        <v>6.0999999999999999E-2</v>
      </c>
      <c r="D10" s="7">
        <v>12</v>
      </c>
      <c r="E10" s="6">
        <v>0</v>
      </c>
      <c r="F10" s="6"/>
      <c r="G10" s="6">
        <v>0</v>
      </c>
      <c r="H10" s="6">
        <v>30.2</v>
      </c>
    </row>
    <row r="11" spans="1:8" x14ac:dyDescent="0.25">
      <c r="A11" s="5">
        <v>2033</v>
      </c>
      <c r="B11" s="6">
        <v>63.3</v>
      </c>
      <c r="C11" s="15">
        <v>6.0999999999999999E-2</v>
      </c>
      <c r="D11" s="7">
        <v>12</v>
      </c>
      <c r="E11" s="6">
        <v>0</v>
      </c>
      <c r="F11" s="6"/>
      <c r="G11" s="6">
        <v>0</v>
      </c>
      <c r="H11" s="6">
        <v>30.8</v>
      </c>
    </row>
    <row r="12" spans="1:8" x14ac:dyDescent="0.25">
      <c r="A12" s="5">
        <v>2034</v>
      </c>
      <c r="B12" s="6">
        <v>64.3</v>
      </c>
      <c r="C12" s="15">
        <v>6.2E-2</v>
      </c>
      <c r="D12" s="7">
        <v>12</v>
      </c>
      <c r="E12" s="6">
        <v>0</v>
      </c>
      <c r="F12" s="6"/>
      <c r="G12" s="6">
        <v>0</v>
      </c>
      <c r="H12" s="6">
        <v>31.5</v>
      </c>
    </row>
    <row r="13" spans="1:8" x14ac:dyDescent="0.25">
      <c r="A13" s="5">
        <v>2035</v>
      </c>
      <c r="B13" s="6">
        <v>65.099999999999994</v>
      </c>
      <c r="C13" s="15">
        <v>6.2E-2</v>
      </c>
      <c r="D13" s="7">
        <v>12</v>
      </c>
      <c r="E13" s="6">
        <v>0</v>
      </c>
      <c r="F13" s="6"/>
      <c r="G13" s="6">
        <v>0</v>
      </c>
      <c r="H13" s="6">
        <v>32.1</v>
      </c>
    </row>
    <row r="14" spans="1:8" x14ac:dyDescent="0.25">
      <c r="A14" s="5">
        <v>2036</v>
      </c>
      <c r="B14" s="6">
        <v>65.8</v>
      </c>
      <c r="C14" s="15">
        <v>6.2E-2</v>
      </c>
      <c r="D14" s="7">
        <v>12</v>
      </c>
      <c r="E14" s="6">
        <v>0</v>
      </c>
      <c r="F14" s="6"/>
      <c r="G14" s="6">
        <v>0</v>
      </c>
      <c r="H14" s="6">
        <v>32.799999999999997</v>
      </c>
    </row>
    <row r="15" spans="1:8" x14ac:dyDescent="0.25">
      <c r="A15" s="5">
        <v>2037</v>
      </c>
      <c r="B15" s="6">
        <v>66.400000000000006</v>
      </c>
      <c r="C15" s="15">
        <v>6.2E-2</v>
      </c>
      <c r="D15" s="7">
        <v>12</v>
      </c>
      <c r="E15" s="6">
        <v>0</v>
      </c>
      <c r="F15" s="6"/>
      <c r="G15" s="6">
        <v>0</v>
      </c>
      <c r="H15" s="6">
        <v>33.299999999999997</v>
      </c>
    </row>
    <row r="16" spans="1:8" x14ac:dyDescent="0.25">
      <c r="A16" s="5">
        <v>2038</v>
      </c>
      <c r="B16" s="6">
        <v>67</v>
      </c>
      <c r="C16" s="15">
        <v>6.2E-2</v>
      </c>
      <c r="D16" s="7">
        <v>12</v>
      </c>
      <c r="E16" s="6">
        <v>0</v>
      </c>
      <c r="F16" s="6"/>
      <c r="G16" s="6">
        <v>0</v>
      </c>
      <c r="H16" s="6">
        <v>25.7</v>
      </c>
    </row>
    <row r="17" spans="1:8" x14ac:dyDescent="0.25">
      <c r="A17" s="5">
        <v>2039</v>
      </c>
      <c r="B17" s="6">
        <v>67.5</v>
      </c>
      <c r="C17" s="15">
        <v>6.2E-2</v>
      </c>
      <c r="D17" s="7">
        <v>12</v>
      </c>
      <c r="E17" s="6">
        <v>0</v>
      </c>
      <c r="F17" s="6"/>
      <c r="G17" s="6">
        <v>0</v>
      </c>
      <c r="H17" s="6">
        <v>0</v>
      </c>
    </row>
    <row r="20" spans="1:8" x14ac:dyDescent="0.25">
      <c r="A20" s="28" t="s">
        <v>82</v>
      </c>
      <c r="B20" s="29"/>
      <c r="C20" s="29"/>
      <c r="D20" s="29"/>
      <c r="E20" s="29"/>
      <c r="F20" s="29"/>
      <c r="G20" s="29"/>
      <c r="H20" s="30"/>
    </row>
    <row r="21" spans="1:8" x14ac:dyDescent="0.25">
      <c r="A21" s="5">
        <v>2024</v>
      </c>
      <c r="B21" s="6">
        <v>46.4</v>
      </c>
      <c r="C21" s="15">
        <v>6.2E-2</v>
      </c>
      <c r="D21" s="6">
        <v>14</v>
      </c>
      <c r="E21" s="6">
        <v>0</v>
      </c>
      <c r="F21" s="6"/>
      <c r="G21" s="6">
        <v>0.2</v>
      </c>
      <c r="H21" s="6">
        <v>28.3</v>
      </c>
    </row>
    <row r="22" spans="1:8" x14ac:dyDescent="0.25">
      <c r="A22" s="5">
        <v>2025</v>
      </c>
      <c r="B22" s="6">
        <v>51</v>
      </c>
      <c r="C22" s="15">
        <v>5.6000000000000001E-2</v>
      </c>
      <c r="D22" s="6">
        <v>14</v>
      </c>
      <c r="E22" s="6">
        <v>0</v>
      </c>
      <c r="F22" s="6"/>
      <c r="G22" s="6">
        <v>0</v>
      </c>
      <c r="H22" s="6">
        <v>31.6</v>
      </c>
    </row>
    <row r="23" spans="1:8" x14ac:dyDescent="0.25">
      <c r="A23" s="5">
        <v>2026</v>
      </c>
      <c r="B23" s="6">
        <v>56.7</v>
      </c>
      <c r="C23" s="15">
        <v>5.7000000000000002E-2</v>
      </c>
      <c r="D23" s="6">
        <v>14</v>
      </c>
      <c r="E23" s="6">
        <v>0</v>
      </c>
      <c r="F23" s="6"/>
      <c r="G23" s="6">
        <v>0</v>
      </c>
      <c r="H23" s="6">
        <v>30.8</v>
      </c>
    </row>
    <row r="24" spans="1:8" x14ac:dyDescent="0.25">
      <c r="A24" s="5">
        <v>2027</v>
      </c>
      <c r="B24" s="6">
        <v>60.2</v>
      </c>
      <c r="C24" s="15">
        <v>5.7000000000000002E-2</v>
      </c>
      <c r="D24" s="6">
        <v>14</v>
      </c>
      <c r="E24" s="6">
        <v>0</v>
      </c>
      <c r="F24" s="6"/>
      <c r="G24" s="6">
        <v>0</v>
      </c>
      <c r="H24" s="6">
        <v>33.200000000000003</v>
      </c>
    </row>
    <row r="25" spans="1:8" x14ac:dyDescent="0.25">
      <c r="A25" s="5">
        <v>2028</v>
      </c>
      <c r="B25" s="6">
        <v>63.1</v>
      </c>
      <c r="C25" s="15">
        <v>5.8999999999999997E-2</v>
      </c>
      <c r="D25" s="6">
        <v>13.6</v>
      </c>
      <c r="E25" s="6">
        <v>0</v>
      </c>
      <c r="F25" s="6"/>
      <c r="G25" s="6">
        <v>0</v>
      </c>
      <c r="H25" s="6">
        <v>32.200000000000003</v>
      </c>
    </row>
    <row r="26" spans="1:8" x14ac:dyDescent="0.25">
      <c r="A26" s="5">
        <v>2029</v>
      </c>
      <c r="B26" s="6">
        <v>65.400000000000006</v>
      </c>
      <c r="C26" s="15">
        <v>5.8999999999999997E-2</v>
      </c>
      <c r="D26" s="6">
        <v>13.2</v>
      </c>
      <c r="E26" s="6">
        <v>0</v>
      </c>
      <c r="F26" s="6"/>
      <c r="G26" s="6">
        <v>0</v>
      </c>
      <c r="H26" s="6">
        <v>32.4</v>
      </c>
    </row>
    <row r="27" spans="1:8" x14ac:dyDescent="0.25">
      <c r="A27" s="5">
        <v>2030</v>
      </c>
      <c r="B27" s="6">
        <v>67.599999999999994</v>
      </c>
      <c r="C27" s="15">
        <v>0.06</v>
      </c>
      <c r="D27" s="6">
        <v>12.8</v>
      </c>
      <c r="E27" s="6">
        <v>0</v>
      </c>
      <c r="F27" s="6"/>
      <c r="G27" s="6">
        <v>0</v>
      </c>
      <c r="H27" s="6">
        <v>34.5</v>
      </c>
    </row>
    <row r="28" spans="1:8" x14ac:dyDescent="0.25">
      <c r="A28" s="5">
        <v>2031</v>
      </c>
      <c r="B28" s="6">
        <v>70.2</v>
      </c>
      <c r="C28" s="15">
        <v>0.06</v>
      </c>
      <c r="D28" s="6">
        <v>12.4</v>
      </c>
      <c r="E28" s="6">
        <v>0</v>
      </c>
      <c r="F28" s="6"/>
      <c r="G28" s="6">
        <v>0</v>
      </c>
      <c r="H28" s="6">
        <v>36.9</v>
      </c>
    </row>
    <row r="29" spans="1:8" x14ac:dyDescent="0.25">
      <c r="A29" s="5">
        <v>2032</v>
      </c>
      <c r="B29" s="6">
        <v>73.3</v>
      </c>
      <c r="C29" s="15">
        <v>6.0999999999999999E-2</v>
      </c>
      <c r="D29" s="6">
        <v>12</v>
      </c>
      <c r="E29" s="6">
        <v>0</v>
      </c>
      <c r="F29" s="6"/>
      <c r="G29" s="6">
        <v>0</v>
      </c>
      <c r="H29" s="6">
        <v>39.9</v>
      </c>
    </row>
    <row r="30" spans="1:8" x14ac:dyDescent="0.25">
      <c r="A30" s="5">
        <v>2033</v>
      </c>
      <c r="B30" s="6">
        <v>76.8</v>
      </c>
      <c r="C30" s="15">
        <v>6.0999999999999999E-2</v>
      </c>
      <c r="D30" s="6">
        <v>12</v>
      </c>
      <c r="E30" s="6">
        <v>0</v>
      </c>
      <c r="F30" s="6"/>
      <c r="G30" s="6">
        <v>0</v>
      </c>
      <c r="H30" s="6">
        <v>43.2</v>
      </c>
    </row>
    <row r="31" spans="1:8" x14ac:dyDescent="0.25">
      <c r="A31" s="5">
        <v>2034</v>
      </c>
      <c r="B31" s="6">
        <v>80.5</v>
      </c>
      <c r="C31" s="15">
        <v>6.2E-2</v>
      </c>
      <c r="D31" s="6">
        <v>12</v>
      </c>
      <c r="E31" s="6">
        <v>0</v>
      </c>
      <c r="F31" s="6"/>
      <c r="G31" s="6">
        <v>0</v>
      </c>
      <c r="H31" s="6">
        <v>46.8</v>
      </c>
    </row>
    <row r="32" spans="1:8" x14ac:dyDescent="0.25">
      <c r="A32" s="5">
        <v>2035</v>
      </c>
      <c r="B32" s="6">
        <v>84.4</v>
      </c>
      <c r="C32" s="15">
        <v>6.2E-2</v>
      </c>
      <c r="D32" s="6">
        <v>12</v>
      </c>
      <c r="E32" s="6">
        <v>0</v>
      </c>
      <c r="F32" s="6"/>
      <c r="G32" s="6">
        <v>0</v>
      </c>
      <c r="H32" s="6">
        <v>50.7</v>
      </c>
    </row>
    <row r="33" spans="1:8" x14ac:dyDescent="0.25">
      <c r="A33" s="5">
        <v>2036</v>
      </c>
      <c r="B33" s="6">
        <v>88.6</v>
      </c>
      <c r="C33" s="15">
        <v>6.2E-2</v>
      </c>
      <c r="D33" s="6">
        <v>12</v>
      </c>
      <c r="E33" s="6">
        <v>0</v>
      </c>
      <c r="F33" s="6"/>
      <c r="G33" s="6">
        <v>0</v>
      </c>
      <c r="H33" s="6">
        <v>55.1</v>
      </c>
    </row>
    <row r="34" spans="1:8" x14ac:dyDescent="0.25">
      <c r="A34" s="5">
        <v>2037</v>
      </c>
      <c r="B34" s="6">
        <v>93.1</v>
      </c>
      <c r="C34" s="15">
        <v>6.2E-2</v>
      </c>
      <c r="D34" s="6">
        <v>12</v>
      </c>
      <c r="E34" s="6">
        <v>0</v>
      </c>
      <c r="F34" s="6"/>
      <c r="G34" s="6">
        <v>0</v>
      </c>
      <c r="H34" s="6">
        <v>59.6</v>
      </c>
    </row>
    <row r="35" spans="1:8" x14ac:dyDescent="0.25">
      <c r="A35" s="5">
        <v>2038</v>
      </c>
      <c r="B35" s="6">
        <v>97.8</v>
      </c>
      <c r="C35" s="15">
        <v>6.2E-2</v>
      </c>
      <c r="D35" s="6">
        <v>12</v>
      </c>
      <c r="E35" s="6">
        <v>0</v>
      </c>
      <c r="F35" s="6"/>
      <c r="G35" s="6">
        <v>0</v>
      </c>
      <c r="H35" s="6">
        <v>64.3</v>
      </c>
    </row>
    <row r="36" spans="1:8" x14ac:dyDescent="0.25">
      <c r="A36" s="5">
        <v>2039</v>
      </c>
      <c r="B36" s="6">
        <v>102.9</v>
      </c>
      <c r="C36" s="15">
        <v>6.2E-2</v>
      </c>
      <c r="D36" s="6">
        <v>12</v>
      </c>
      <c r="E36" s="6">
        <v>0</v>
      </c>
      <c r="F36" s="6"/>
      <c r="G36" s="6">
        <v>0</v>
      </c>
      <c r="H36" s="6">
        <v>0</v>
      </c>
    </row>
    <row r="39" spans="1:8" x14ac:dyDescent="0.25">
      <c r="A39" s="28" t="s">
        <v>83</v>
      </c>
      <c r="B39" s="29"/>
      <c r="C39" s="29"/>
      <c r="D39" s="29"/>
      <c r="E39" s="29"/>
      <c r="F39" s="29"/>
      <c r="G39" s="29"/>
      <c r="H39" s="30"/>
    </row>
    <row r="40" spans="1:8" x14ac:dyDescent="0.25">
      <c r="A40" s="5">
        <v>2024</v>
      </c>
      <c r="B40" s="6">
        <v>46.1</v>
      </c>
      <c r="C40" s="15">
        <v>6.2E-2</v>
      </c>
      <c r="D40" s="6">
        <v>14.1</v>
      </c>
      <c r="E40" s="6">
        <v>0</v>
      </c>
      <c r="F40" s="6"/>
      <c r="G40" s="6">
        <v>0.2</v>
      </c>
      <c r="H40" s="6">
        <v>25.9</v>
      </c>
    </row>
    <row r="41" spans="1:8" x14ac:dyDescent="0.25">
      <c r="A41" s="5">
        <v>2025</v>
      </c>
      <c r="B41" s="6">
        <v>48.5</v>
      </c>
      <c r="C41" s="15">
        <v>5.6000000000000001E-2</v>
      </c>
      <c r="D41" s="6">
        <v>13.4</v>
      </c>
      <c r="E41" s="6">
        <v>0</v>
      </c>
      <c r="F41" s="6"/>
      <c r="G41" s="6">
        <v>0</v>
      </c>
      <c r="H41" s="6">
        <v>33.6</v>
      </c>
    </row>
    <row r="42" spans="1:8" x14ac:dyDescent="0.25">
      <c r="A42" s="5">
        <v>2026</v>
      </c>
      <c r="B42" s="6">
        <v>54.3</v>
      </c>
      <c r="C42" s="15">
        <v>5.5E-2</v>
      </c>
      <c r="D42" s="6">
        <v>12</v>
      </c>
      <c r="E42" s="6">
        <v>0</v>
      </c>
      <c r="F42" s="6"/>
      <c r="G42" s="6">
        <v>0</v>
      </c>
      <c r="H42" s="6">
        <v>35.4</v>
      </c>
    </row>
    <row r="43" spans="1:8" x14ac:dyDescent="0.25">
      <c r="A43" s="5">
        <v>2027</v>
      </c>
      <c r="B43" s="6">
        <v>56.1</v>
      </c>
      <c r="C43" s="15">
        <v>6.0999999999999999E-2</v>
      </c>
      <c r="D43" s="6">
        <v>11.6</v>
      </c>
      <c r="E43" s="6">
        <v>16.5</v>
      </c>
      <c r="F43" s="6"/>
      <c r="G43" s="6">
        <v>0</v>
      </c>
      <c r="H43" s="6">
        <v>18</v>
      </c>
    </row>
    <row r="44" spans="1:8" x14ac:dyDescent="0.25">
      <c r="A44" s="5">
        <v>2028</v>
      </c>
      <c r="B44" s="6">
        <v>56.8</v>
      </c>
      <c r="C44" s="15">
        <v>6.7000000000000004E-2</v>
      </c>
      <c r="D44" s="6">
        <v>11.4</v>
      </c>
      <c r="E44" s="6">
        <v>36.700000000000003</v>
      </c>
      <c r="F44" s="6"/>
      <c r="G44" s="6">
        <v>0</v>
      </c>
      <c r="H44" s="6">
        <v>-2.8</v>
      </c>
    </row>
    <row r="45" spans="1:8" x14ac:dyDescent="0.25">
      <c r="A45" s="5">
        <v>2029</v>
      </c>
      <c r="B45" s="6">
        <v>56.7</v>
      </c>
      <c r="C45" s="15">
        <v>6.7000000000000004E-2</v>
      </c>
      <c r="D45" s="6">
        <v>11.5</v>
      </c>
      <c r="E45" s="6">
        <v>38.6</v>
      </c>
      <c r="F45" s="6"/>
      <c r="G45" s="6">
        <v>0</v>
      </c>
      <c r="H45" s="6">
        <v>-2.8</v>
      </c>
    </row>
    <row r="46" spans="1:8" x14ac:dyDescent="0.25">
      <c r="A46" s="5">
        <v>2030</v>
      </c>
      <c r="B46" s="6">
        <v>56.3</v>
      </c>
      <c r="C46" s="15">
        <v>6.8000000000000005E-2</v>
      </c>
      <c r="D46" s="6">
        <v>11.6</v>
      </c>
      <c r="E46" s="6">
        <v>40.799999999999997</v>
      </c>
      <c r="F46" s="6"/>
      <c r="G46" s="6">
        <v>0</v>
      </c>
      <c r="H46" s="6">
        <v>-2.8</v>
      </c>
    </row>
    <row r="47" spans="1:8" x14ac:dyDescent="0.25">
      <c r="A47" s="5">
        <v>2031</v>
      </c>
      <c r="B47" s="6">
        <v>56</v>
      </c>
      <c r="C47" s="15">
        <v>6.9000000000000006E-2</v>
      </c>
      <c r="D47" s="6">
        <v>11.6</v>
      </c>
      <c r="E47" s="6">
        <v>43.5</v>
      </c>
      <c r="F47" s="6"/>
      <c r="G47" s="6">
        <v>0</v>
      </c>
      <c r="H47" s="6">
        <v>-2.8</v>
      </c>
    </row>
    <row r="48" spans="1:8" x14ac:dyDescent="0.25">
      <c r="A48" s="5">
        <v>2032</v>
      </c>
      <c r="B48" s="6">
        <v>56</v>
      </c>
      <c r="C48" s="15">
        <v>7.0000000000000007E-2</v>
      </c>
      <c r="D48" s="6">
        <v>11.6</v>
      </c>
      <c r="E48" s="6">
        <v>46.7</v>
      </c>
      <c r="F48" s="6"/>
      <c r="G48" s="6">
        <v>0</v>
      </c>
      <c r="H48" s="6">
        <v>-2.8</v>
      </c>
    </row>
    <row r="49" spans="1:8" x14ac:dyDescent="0.25">
      <c r="A49" s="5">
        <v>2033</v>
      </c>
      <c r="B49" s="6">
        <v>56.2</v>
      </c>
      <c r="C49" s="15">
        <v>6.8000000000000005E-2</v>
      </c>
      <c r="D49" s="6">
        <v>11.6</v>
      </c>
      <c r="E49" s="6">
        <v>50.5</v>
      </c>
      <c r="F49" s="6"/>
      <c r="G49" s="6">
        <v>0</v>
      </c>
      <c r="H49" s="6">
        <v>-2.8</v>
      </c>
    </row>
    <row r="50" spans="1:8" x14ac:dyDescent="0.25">
      <c r="A50" s="5">
        <v>2034</v>
      </c>
      <c r="B50" s="6">
        <v>56.5</v>
      </c>
      <c r="C50" s="15">
        <v>6.2E-2</v>
      </c>
      <c r="D50" s="6">
        <v>11.5</v>
      </c>
      <c r="E50" s="6">
        <v>51.8</v>
      </c>
      <c r="F50" s="6"/>
      <c r="G50" s="6">
        <v>0</v>
      </c>
      <c r="H50" s="6">
        <v>0</v>
      </c>
    </row>
    <row r="51" spans="1:8" x14ac:dyDescent="0.25">
      <c r="A51" s="5">
        <v>2035</v>
      </c>
      <c r="B51" s="6">
        <v>56.9</v>
      </c>
      <c r="C51" s="15">
        <v>0</v>
      </c>
      <c r="D51" s="6">
        <v>11.4</v>
      </c>
      <c r="E51" s="6">
        <v>0</v>
      </c>
      <c r="F51" s="6"/>
      <c r="G51" s="6">
        <v>0</v>
      </c>
      <c r="H51" s="6">
        <v>54.4</v>
      </c>
    </row>
    <row r="52" spans="1:8" x14ac:dyDescent="0.25">
      <c r="A52" s="5">
        <v>2036</v>
      </c>
      <c r="B52" s="6">
        <v>57.4</v>
      </c>
      <c r="C52" s="15">
        <v>0</v>
      </c>
      <c r="D52" s="6">
        <v>11.3</v>
      </c>
      <c r="E52" s="6">
        <v>0</v>
      </c>
      <c r="F52" s="6"/>
      <c r="G52" s="6">
        <v>0</v>
      </c>
      <c r="H52" s="6">
        <v>54.9</v>
      </c>
    </row>
    <row r="53" spans="1:8" x14ac:dyDescent="0.25">
      <c r="A53" s="5">
        <v>2037</v>
      </c>
      <c r="B53" s="6">
        <v>57.8</v>
      </c>
      <c r="C53" s="15">
        <v>0</v>
      </c>
      <c r="D53" s="6">
        <v>11.2</v>
      </c>
      <c r="E53" s="6">
        <v>0</v>
      </c>
      <c r="F53" s="6"/>
      <c r="G53" s="6">
        <v>0</v>
      </c>
      <c r="H53" s="6">
        <v>55.4</v>
      </c>
    </row>
    <row r="54" spans="1:8" x14ac:dyDescent="0.25">
      <c r="A54" s="5">
        <v>2038</v>
      </c>
      <c r="B54" s="6">
        <v>58.3</v>
      </c>
      <c r="C54" s="15">
        <v>0</v>
      </c>
      <c r="D54" s="6">
        <v>11.1</v>
      </c>
      <c r="E54" s="6">
        <v>0</v>
      </c>
      <c r="F54" s="6"/>
      <c r="G54" s="6">
        <v>0</v>
      </c>
      <c r="H54" s="6">
        <v>55.9</v>
      </c>
    </row>
    <row r="55" spans="1:8" x14ac:dyDescent="0.25">
      <c r="A55" s="5">
        <v>2039</v>
      </c>
      <c r="B55" s="6">
        <v>58.8</v>
      </c>
      <c r="C55" s="15">
        <v>0</v>
      </c>
      <c r="D55" s="6">
        <v>11</v>
      </c>
      <c r="E55" s="6">
        <v>0</v>
      </c>
      <c r="F55" s="6"/>
      <c r="G55" s="6">
        <v>0</v>
      </c>
      <c r="H55" s="6">
        <v>0</v>
      </c>
    </row>
    <row r="58" spans="1:8" x14ac:dyDescent="0.25">
      <c r="A58" s="28" t="s">
        <v>84</v>
      </c>
      <c r="B58" s="29"/>
      <c r="C58" s="29"/>
      <c r="D58" s="29"/>
      <c r="E58" s="29"/>
      <c r="F58" s="29"/>
      <c r="G58" s="29"/>
      <c r="H58" s="30"/>
    </row>
    <row r="59" spans="1:8" x14ac:dyDescent="0.25">
      <c r="A59" s="5">
        <v>2024</v>
      </c>
      <c r="B59" s="6">
        <v>45.7</v>
      </c>
      <c r="C59" s="15">
        <v>6.2E-2</v>
      </c>
      <c r="D59" s="6">
        <v>14.2</v>
      </c>
      <c r="E59" s="6">
        <v>0</v>
      </c>
      <c r="F59" s="6"/>
      <c r="G59" s="6">
        <v>0.2</v>
      </c>
      <c r="H59" s="6">
        <v>25</v>
      </c>
    </row>
    <row r="60" spans="1:8" x14ac:dyDescent="0.25">
      <c r="A60" s="5">
        <v>2025</v>
      </c>
      <c r="B60" s="6">
        <v>47.6</v>
      </c>
      <c r="C60" s="15">
        <v>5.6000000000000001E-2</v>
      </c>
      <c r="D60" s="6">
        <v>13.7</v>
      </c>
      <c r="E60" s="6">
        <v>0</v>
      </c>
      <c r="F60" s="6"/>
      <c r="G60" s="6">
        <v>0</v>
      </c>
      <c r="H60" s="6">
        <v>33.700000000000003</v>
      </c>
    </row>
    <row r="61" spans="1:8" x14ac:dyDescent="0.25">
      <c r="A61" s="5">
        <v>2026</v>
      </c>
      <c r="B61" s="6">
        <v>54.4</v>
      </c>
      <c r="C61" s="15">
        <v>5.5E-2</v>
      </c>
      <c r="D61" s="6">
        <v>11.9</v>
      </c>
      <c r="E61" s="6">
        <v>0</v>
      </c>
      <c r="F61" s="6"/>
      <c r="G61" s="6">
        <v>0</v>
      </c>
      <c r="H61" s="6">
        <v>33.799999999999997</v>
      </c>
    </row>
    <row r="62" spans="1:8" x14ac:dyDescent="0.25">
      <c r="A62" s="5">
        <v>2027</v>
      </c>
      <c r="B62" s="6">
        <v>54.4</v>
      </c>
      <c r="C62" s="15">
        <v>6.0999999999999999E-2</v>
      </c>
      <c r="D62" s="6">
        <v>11.9</v>
      </c>
      <c r="E62" s="6">
        <v>14.4</v>
      </c>
      <c r="F62" s="6"/>
      <c r="G62" s="6">
        <v>0</v>
      </c>
      <c r="H62" s="6">
        <v>16.600000000000001</v>
      </c>
    </row>
    <row r="63" spans="1:8" x14ac:dyDescent="0.25">
      <c r="A63" s="5">
        <v>2028</v>
      </c>
      <c r="B63" s="6">
        <v>53.2</v>
      </c>
      <c r="C63" s="15">
        <v>6.7000000000000004E-2</v>
      </c>
      <c r="D63" s="6">
        <v>12.2</v>
      </c>
      <c r="E63" s="6">
        <v>32.1</v>
      </c>
      <c r="F63" s="6"/>
      <c r="G63" s="6">
        <v>0</v>
      </c>
      <c r="H63" s="6">
        <v>-2.6</v>
      </c>
    </row>
    <row r="64" spans="1:8" x14ac:dyDescent="0.25">
      <c r="A64" s="5">
        <v>2029</v>
      </c>
      <c r="B64" s="6">
        <v>52.2</v>
      </c>
      <c r="C64" s="15">
        <v>6.7000000000000004E-2</v>
      </c>
      <c r="D64" s="6">
        <v>12.4</v>
      </c>
      <c r="E64" s="6">
        <v>33.299999999999997</v>
      </c>
      <c r="F64" s="6"/>
      <c r="G64" s="6">
        <v>0</v>
      </c>
      <c r="H64" s="6">
        <v>-2.6</v>
      </c>
    </row>
    <row r="65" spans="1:8" x14ac:dyDescent="0.25">
      <c r="A65" s="5">
        <v>2030</v>
      </c>
      <c r="B65" s="6">
        <v>51.5</v>
      </c>
      <c r="C65" s="15">
        <v>6.8000000000000005E-2</v>
      </c>
      <c r="D65" s="6">
        <v>12.6</v>
      </c>
      <c r="E65" s="6">
        <v>34.700000000000003</v>
      </c>
      <c r="F65" s="6"/>
      <c r="G65" s="6">
        <v>0</v>
      </c>
      <c r="H65" s="6">
        <v>-2.5</v>
      </c>
    </row>
    <row r="66" spans="1:8" x14ac:dyDescent="0.25">
      <c r="A66" s="5">
        <v>2031</v>
      </c>
      <c r="B66" s="6">
        <v>50.8</v>
      </c>
      <c r="C66" s="15">
        <v>6.9000000000000006E-2</v>
      </c>
      <c r="D66" s="6">
        <v>12.8</v>
      </c>
      <c r="E66" s="6">
        <v>35.799999999999997</v>
      </c>
      <c r="F66" s="6"/>
      <c r="G66" s="6">
        <v>0</v>
      </c>
      <c r="H66" s="6">
        <v>-2.5</v>
      </c>
    </row>
    <row r="67" spans="1:8" x14ac:dyDescent="0.25">
      <c r="A67" s="5">
        <v>2032</v>
      </c>
      <c r="B67" s="6">
        <v>49.7</v>
      </c>
      <c r="C67" s="15">
        <v>7.0000000000000007E-2</v>
      </c>
      <c r="D67" s="6">
        <v>13.1</v>
      </c>
      <c r="E67" s="6">
        <v>36.700000000000003</v>
      </c>
      <c r="F67" s="6"/>
      <c r="G67" s="6">
        <v>0</v>
      </c>
      <c r="H67" s="6">
        <v>-2.4</v>
      </c>
    </row>
    <row r="68" spans="1:8" x14ac:dyDescent="0.25">
      <c r="A68" s="5">
        <v>2033</v>
      </c>
      <c r="B68" s="6">
        <v>48.2</v>
      </c>
      <c r="C68" s="15">
        <v>6.8000000000000005E-2</v>
      </c>
      <c r="D68" s="6">
        <v>13.5</v>
      </c>
      <c r="E68" s="6">
        <v>38.299999999999997</v>
      </c>
      <c r="F68" s="6"/>
      <c r="G68" s="6">
        <v>0</v>
      </c>
      <c r="H68" s="6">
        <v>-2.4</v>
      </c>
    </row>
    <row r="69" spans="1:8" x14ac:dyDescent="0.25">
      <c r="A69" s="5">
        <v>2034</v>
      </c>
      <c r="B69" s="6">
        <v>47.1</v>
      </c>
      <c r="C69" s="15">
        <v>6.0999999999999999E-2</v>
      </c>
      <c r="D69" s="6">
        <v>13.8</v>
      </c>
      <c r="E69" s="6">
        <v>40.6</v>
      </c>
      <c r="F69" s="6"/>
      <c r="G69" s="6">
        <v>0</v>
      </c>
      <c r="H69" s="6">
        <v>-2.2999999999999998</v>
      </c>
    </row>
    <row r="70" spans="1:8" x14ac:dyDescent="0.25">
      <c r="A70" s="5">
        <v>2035</v>
      </c>
      <c r="B70" s="6">
        <v>46</v>
      </c>
      <c r="C70" s="15">
        <v>6.0999999999999999E-2</v>
      </c>
      <c r="D70" s="6">
        <v>14.1</v>
      </c>
      <c r="E70" s="6">
        <v>42.1</v>
      </c>
      <c r="F70" s="6"/>
      <c r="G70" s="6">
        <v>0</v>
      </c>
      <c r="H70" s="6">
        <v>-2.2000000000000002</v>
      </c>
    </row>
    <row r="71" spans="1:8" x14ac:dyDescent="0.25">
      <c r="A71" s="5">
        <v>2036</v>
      </c>
      <c r="B71" s="6">
        <v>45</v>
      </c>
      <c r="C71" s="15">
        <v>6.3E-2</v>
      </c>
      <c r="D71" s="6">
        <v>14.4</v>
      </c>
      <c r="E71" s="6">
        <v>17</v>
      </c>
      <c r="F71" s="6"/>
      <c r="G71" s="6">
        <v>0</v>
      </c>
      <c r="H71" s="6">
        <v>24.1</v>
      </c>
    </row>
    <row r="72" spans="1:8" x14ac:dyDescent="0.25">
      <c r="A72" s="5">
        <v>2037</v>
      </c>
      <c r="B72" s="6">
        <v>43.8</v>
      </c>
      <c r="C72" s="15">
        <v>0</v>
      </c>
      <c r="D72" s="6">
        <v>14.9</v>
      </c>
      <c r="E72" s="6">
        <v>0</v>
      </c>
      <c r="F72" s="6"/>
      <c r="G72" s="6">
        <v>0</v>
      </c>
      <c r="H72" s="6">
        <v>40.299999999999997</v>
      </c>
    </row>
    <row r="73" spans="1:8" x14ac:dyDescent="0.25">
      <c r="A73" s="5">
        <v>2038</v>
      </c>
      <c r="B73" s="6">
        <v>42.4</v>
      </c>
      <c r="C73" s="15">
        <v>0</v>
      </c>
      <c r="D73" s="6">
        <v>15.3</v>
      </c>
      <c r="E73" s="6">
        <v>0</v>
      </c>
      <c r="F73" s="6"/>
      <c r="G73" s="6">
        <v>0</v>
      </c>
      <c r="H73" s="6">
        <v>39.200000000000003</v>
      </c>
    </row>
    <row r="74" spans="1:8" x14ac:dyDescent="0.25">
      <c r="A74" s="5">
        <v>2039</v>
      </c>
      <c r="B74" s="6">
        <v>41.3</v>
      </c>
      <c r="C74" s="15">
        <v>0</v>
      </c>
      <c r="D74" s="6">
        <v>15.7</v>
      </c>
      <c r="E74" s="6">
        <v>0</v>
      </c>
      <c r="F74" s="6"/>
      <c r="G74" s="6">
        <v>0</v>
      </c>
      <c r="H74" s="6">
        <v>0</v>
      </c>
    </row>
    <row r="76" spans="1:8" x14ac:dyDescent="0.25">
      <c r="B76" t="s">
        <v>157</v>
      </c>
      <c r="C76" t="s">
        <v>158</v>
      </c>
      <c r="D76" t="s">
        <v>107</v>
      </c>
      <c r="E76" t="s">
        <v>159</v>
      </c>
      <c r="F76" t="s">
        <v>160</v>
      </c>
      <c r="G76" t="s">
        <v>161</v>
      </c>
      <c r="H76" t="s">
        <v>162</v>
      </c>
    </row>
  </sheetData>
  <mergeCells count="4">
    <mergeCell ref="A20:H20"/>
    <mergeCell ref="A39:H39"/>
    <mergeCell ref="A58:H5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9" defaultRowHeight="15" x14ac:dyDescent="0.25"/>
  <cols>
    <col min="1" max="2" width="18" customWidth="1"/>
  </cols>
  <sheetData>
    <row r="1" spans="1:5" x14ac:dyDescent="0.25">
      <c r="A1" s="1" t="s">
        <v>85</v>
      </c>
      <c r="B1" s="1" t="s">
        <v>86</v>
      </c>
      <c r="D1" s="8" t="s">
        <v>4</v>
      </c>
      <c r="E1" s="8" t="s">
        <v>87</v>
      </c>
    </row>
    <row r="2" spans="1:5" x14ac:dyDescent="0.25">
      <c r="A2" s="9" t="str">
        <f>'01_Inputs'!B5</f>
        <v>Base</v>
      </c>
      <c r="B2" s="9">
        <f>INDEX($E$2:$E$5, MATCH(A2, $D$2:$D$5, 0))+1</f>
        <v>2</v>
      </c>
      <c r="D2" s="9" t="s">
        <v>5</v>
      </c>
      <c r="E2" s="9">
        <v>1</v>
      </c>
    </row>
    <row r="3" spans="1:5" x14ac:dyDescent="0.25">
      <c r="D3" s="9" t="s">
        <v>88</v>
      </c>
      <c r="E3" s="9">
        <v>20</v>
      </c>
    </row>
    <row r="4" spans="1:5" x14ac:dyDescent="0.25">
      <c r="A4" s="9" t="s">
        <v>89</v>
      </c>
      <c r="B4" s="9" t="str">
        <f>'01_Inputs'!B16</f>
        <v>2026,2029</v>
      </c>
      <c r="D4" s="9" t="s">
        <v>90</v>
      </c>
      <c r="E4" s="9">
        <v>39</v>
      </c>
    </row>
    <row r="5" spans="1:5" x14ac:dyDescent="0.25">
      <c r="A5" s="9" t="s">
        <v>91</v>
      </c>
      <c r="B5" s="9" t="str">
        <f>","&amp;SUBSTITUTE(B4," ","")&amp;","</f>
        <v>,2026,2029,</v>
      </c>
      <c r="D5" s="9" t="s">
        <v>92</v>
      </c>
      <c r="E5" s="9">
        <v>58</v>
      </c>
    </row>
    <row r="7" spans="1:5" ht="57" customHeight="1" x14ac:dyDescent="0.25">
      <c r="A7" s="14" t="s">
        <v>93</v>
      </c>
      <c r="B7" s="14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workbookViewId="0">
      <pane ySplit="1" topLeftCell="A2" activePane="bottomLeft" state="frozen"/>
      <selection pane="bottomLeft" activeCell="E34" sqref="E34"/>
    </sheetView>
  </sheetViews>
  <sheetFormatPr baseColWidth="10" defaultColWidth="9" defaultRowHeight="15" x14ac:dyDescent="0.25"/>
  <cols>
    <col min="1" max="1" width="8" customWidth="1"/>
    <col min="2" max="2" width="20" customWidth="1"/>
    <col min="3" max="3" width="12" customWidth="1"/>
    <col min="4" max="5" width="16" customWidth="1"/>
    <col min="6" max="6" width="12" customWidth="1"/>
    <col min="7" max="7" width="14" customWidth="1"/>
    <col min="8" max="8" width="16" customWidth="1"/>
    <col min="9" max="9" width="14" customWidth="1"/>
    <col min="10" max="11" width="12" customWidth="1"/>
    <col min="12" max="12" width="18" customWidth="1"/>
    <col min="13" max="14" width="12" customWidth="1"/>
    <col min="15" max="15" width="10" customWidth="1"/>
  </cols>
  <sheetData>
    <row r="1" spans="1:15" ht="30" x14ac:dyDescent="0.25">
      <c r="A1" s="10" t="s">
        <v>95</v>
      </c>
      <c r="B1" s="10" t="s">
        <v>96</v>
      </c>
      <c r="C1" s="10" t="s">
        <v>97</v>
      </c>
      <c r="D1" s="10" t="s">
        <v>98</v>
      </c>
      <c r="E1" s="10" t="s">
        <v>99</v>
      </c>
      <c r="F1" s="10" t="s">
        <v>100</v>
      </c>
      <c r="G1" s="10" t="s">
        <v>101</v>
      </c>
      <c r="H1" s="10" t="s">
        <v>102</v>
      </c>
      <c r="I1" s="10" t="s">
        <v>103</v>
      </c>
      <c r="J1" s="10" t="s">
        <v>104</v>
      </c>
      <c r="K1" s="10" t="s">
        <v>105</v>
      </c>
      <c r="L1" s="10" t="s">
        <v>106</v>
      </c>
      <c r="M1" s="10" t="s">
        <v>107</v>
      </c>
      <c r="N1" s="10" t="s">
        <v>108</v>
      </c>
      <c r="O1" s="10" t="s">
        <v>109</v>
      </c>
    </row>
    <row r="2" spans="1:15" x14ac:dyDescent="0.25">
      <c r="A2" s="4">
        <v>2024</v>
      </c>
      <c r="B2" s="11">
        <f>INDEX('02_PIR_Data_Paste'!$B:$B,'03_Map'!$B$2+(A2-'01_Inputs'!$B$8))</f>
        <v>46.8</v>
      </c>
      <c r="C2" s="11">
        <f>IF(INDEX('02_PIR_Data_Paste'!$F:$F,'03_Map'!$B$2+(A2-'01_Inputs'!$B$8))&lt;&gt;0,INDEX('02_PIR_Data_Paste'!$F:$F,'03_Map'!$B$2+(A2-'01_Inputs'!$B$8)),'01_Inputs'!$B$28*B2)</f>
        <v>2.34</v>
      </c>
      <c r="D2" s="11">
        <f>IF('01_Inputs'!$B$31="YES",INDEX('02_PIR_Data_Paste'!$G:$G,'03_Map'!$B$2+(A2-'01_Inputs'!$B$8)),'01_Inputs'!$B$29)</f>
        <v>0.2</v>
      </c>
      <c r="E2" s="11">
        <f t="shared" ref="E2:E17" si="0">B2-C2-D2</f>
        <v>44.259999999999991</v>
      </c>
      <c r="F2" s="12">
        <f>INDEX('02_PIR_Data_Paste'!$C:$C,'03_Map'!$B$2+(A2-'01_Inputs'!$B$8))</f>
        <v>6.2E-2</v>
      </c>
      <c r="G2" s="11">
        <f>-(IF(A2='01_Inputs'!$B$8,'01_Inputs'!$B$13,K1))*F2</f>
        <v>-20.149999999999999</v>
      </c>
      <c r="H2" s="11">
        <f>INDEX('02_PIR_Data_Paste'!$E:$E,'03_Map'!$B$2+(A2-'01_Inputs'!$B$8))</f>
        <v>0</v>
      </c>
      <c r="I2" s="11">
        <f>IF(AND(OR('03_Map'!$A$2="Base",'03_Map'!$A$2="CEG"),ISNUMBER(SEARCH(","&amp;A2&amp;",",'03_Map'!$B$5))),MAX(0,'01_Inputs'!$B$15*N2-(MAX(0,(IF(A2='01_Inputs'!$B$8,'01_Inputs'!$B$13,K1))-H2)-J2)),0)</f>
        <v>0</v>
      </c>
      <c r="J2" s="11">
        <f>IF(OR('03_Map'!$A$2="Flat",'03_Map'!$A$2="Downside"),IF(A2&gt;='01_Inputs'!$B$17,MIN(MAX(0,INDEX('02_PIR_Data_Paste'!$H:$H,'03_Map'!$B$2+(A2-'01_Inputs'!$B$8))),MAX(0,(IF(A2='01_Inputs'!$B$8,'01_Inputs'!$B$13,K1))-H2)),0),0)</f>
        <v>0</v>
      </c>
      <c r="K2" s="11">
        <f>MAX(0,MAX(0,(IF(A2='01_Inputs'!$B$8,'01_Inputs'!$B$13,K1))-H2)-J2+I2)</f>
        <v>325</v>
      </c>
      <c r="L2" s="11">
        <f>IF($A2='01_Inputs'!$B$9,MAX(0,$N2-$K2),MAX(0,$E2+$G2-$H2-$J2))</f>
        <v>24.109999999999992</v>
      </c>
      <c r="M2" s="13">
        <f>INDEX('02_PIR_Data_Paste'!$D:$D,'03_Map'!$B$2+(A2-'01_Inputs'!$B$8))</f>
        <v>14</v>
      </c>
      <c r="N2" s="11">
        <f t="shared" ref="N2:N17" si="1">M2*B2</f>
        <v>655.19999999999993</v>
      </c>
      <c r="O2" s="12">
        <f t="shared" ref="O2:O17" si="2">IF(N2=0,0,K2/N2)</f>
        <v>0.4960317460317461</v>
      </c>
    </row>
    <row r="3" spans="1:15" x14ac:dyDescent="0.25">
      <c r="A3" s="4">
        <v>2025</v>
      </c>
      <c r="B3" s="11">
        <f>INDEX('02_PIR_Data_Paste'!$B:$B,'03_Map'!$B$2+(A3-'01_Inputs'!$B$8))</f>
        <v>50.3</v>
      </c>
      <c r="C3" s="11">
        <f>IF(INDEX('02_PIR_Data_Paste'!$F:$F,'03_Map'!$B$2+(A3-'01_Inputs'!$B$8))&lt;&gt;0,INDEX('02_PIR_Data_Paste'!$F:$F,'03_Map'!$B$2+(A3-'01_Inputs'!$B$8)),'01_Inputs'!$B$28*B3)</f>
        <v>2.5150000000000001</v>
      </c>
      <c r="D3" s="11">
        <f>IF('01_Inputs'!$B$31="YES",INDEX('02_PIR_Data_Paste'!$G:$G,'03_Map'!$B$2+(A3-'01_Inputs'!$B$8)),'01_Inputs'!$B$29)</f>
        <v>0</v>
      </c>
      <c r="E3" s="11">
        <f t="shared" si="0"/>
        <v>47.784999999999997</v>
      </c>
      <c r="F3" s="12">
        <f>INDEX('02_PIR_Data_Paste'!$C:$C,'03_Map'!$B$2+(A3-'01_Inputs'!$B$8))</f>
        <v>5.6000000000000001E-2</v>
      </c>
      <c r="G3" s="11">
        <f>-(IF(A3='01_Inputs'!$B$8,'01_Inputs'!$B$13,K2))*F3</f>
        <v>-18.2</v>
      </c>
      <c r="H3" s="11">
        <f>INDEX('02_PIR_Data_Paste'!$E:$E,'03_Map'!$B$2+(A3-'01_Inputs'!$B$8))</f>
        <v>0</v>
      </c>
      <c r="I3" s="11">
        <f>IF(AND(OR('03_Map'!$A$2="Base",'03_Map'!$A$2="CEG"),ISNUMBER(SEARCH(","&amp;A3&amp;",",'03_Map'!$B$5))),MAX(0,'01_Inputs'!$B$15*N3-(MAX(0,(IF(A3='01_Inputs'!$B$8,'01_Inputs'!$B$13,K2))-H3)-J3)),0)</f>
        <v>0</v>
      </c>
      <c r="J3" s="11">
        <f>IF(OR('03_Map'!$A$2="Flat",'03_Map'!$A$2="Downside"),IF(A3&gt;='01_Inputs'!$B$17,MIN(MAX(0,INDEX('02_PIR_Data_Paste'!$H:$H,'03_Map'!$B$2+(A3-'01_Inputs'!$B$8))),MAX(0,(IF(A3='01_Inputs'!$B$8,'01_Inputs'!$B$13,K2))-H3)),0),0)</f>
        <v>0</v>
      </c>
      <c r="K3" s="11">
        <f>MAX(0,MAX(0,(IF(A3='01_Inputs'!$B$8,'01_Inputs'!$B$13,K2))-H3)-J3+I3)</f>
        <v>325</v>
      </c>
      <c r="L3" s="11">
        <f>IF($A3='01_Inputs'!$B$9,MAX(0,$N3-$K3),MAX(0,$E3+$G3-$H3-$J3))</f>
        <v>29.584999999999997</v>
      </c>
      <c r="M3" s="13">
        <f>INDEX('02_PIR_Data_Paste'!$D:$D,'03_Map'!$B$2+(A3-'01_Inputs'!$B$8))</f>
        <v>14</v>
      </c>
      <c r="N3" s="11">
        <f t="shared" si="1"/>
        <v>704.19999999999993</v>
      </c>
      <c r="O3" s="12">
        <f t="shared" si="2"/>
        <v>0.4615166145981256</v>
      </c>
    </row>
    <row r="4" spans="1:15" x14ac:dyDescent="0.25">
      <c r="A4" s="4">
        <v>2026</v>
      </c>
      <c r="B4" s="11">
        <f>INDEX('02_PIR_Data_Paste'!$B:$B,'03_Map'!$B$2+(A4-'01_Inputs'!$B$8))</f>
        <v>53.7</v>
      </c>
      <c r="C4" s="11">
        <f>IF(INDEX('02_PIR_Data_Paste'!$F:$F,'03_Map'!$B$2+(A4-'01_Inputs'!$B$8))&lt;&gt;0,INDEX('02_PIR_Data_Paste'!$F:$F,'03_Map'!$B$2+(A4-'01_Inputs'!$B$8)),'01_Inputs'!$B$28*B4)</f>
        <v>2.6850000000000005</v>
      </c>
      <c r="D4" s="11">
        <f>IF('01_Inputs'!$B$31="YES",INDEX('02_PIR_Data_Paste'!$G:$G,'03_Map'!$B$2+(A4-'01_Inputs'!$B$8)),'01_Inputs'!$B$29)</f>
        <v>0</v>
      </c>
      <c r="E4" s="11">
        <f t="shared" si="0"/>
        <v>51.015000000000001</v>
      </c>
      <c r="F4" s="12">
        <f>INDEX('02_PIR_Data_Paste'!$C:$C,'03_Map'!$B$2+(A4-'01_Inputs'!$B$8))</f>
        <v>5.7000000000000002E-2</v>
      </c>
      <c r="G4" s="11">
        <f>-(IF(A4='01_Inputs'!$B$8,'01_Inputs'!$B$13,K3))*F4</f>
        <v>-18.525000000000002</v>
      </c>
      <c r="H4" s="11">
        <f>INDEX('02_PIR_Data_Paste'!$E:$E,'03_Map'!$B$2+(A4-'01_Inputs'!$B$8))</f>
        <v>0</v>
      </c>
      <c r="I4" s="11">
        <f>IF(AND(OR('03_Map'!$A$2="Base",'03_Map'!$A$2="CEG"),ISNUMBER(SEARCH(","&amp;A4&amp;",",'03_Map'!$B$5))),MAX(0,'01_Inputs'!$B$15*N4-(MAX(0,(IF(A4='01_Inputs'!$B$8,'01_Inputs'!$B$13,K3))-H4)-J4)),0)</f>
        <v>126.08000000000004</v>
      </c>
      <c r="J4" s="11">
        <f>IF(OR('03_Map'!$A$2="Flat",'03_Map'!$A$2="Downside"),IF(A4&gt;='01_Inputs'!$B$17,MIN(MAX(0,INDEX('02_PIR_Data_Paste'!$H:$H,'03_Map'!$B$2+(A4-'01_Inputs'!$B$8))),MAX(0,(IF(A4='01_Inputs'!$B$8,'01_Inputs'!$B$13,K3))-H4)),0),0)</f>
        <v>0</v>
      </c>
      <c r="K4" s="11">
        <f>MAX(0,MAX(0,(IF(A4='01_Inputs'!$B$8,'01_Inputs'!$B$13,K3))-H4)-J4+I4)</f>
        <v>451.08000000000004</v>
      </c>
      <c r="L4" s="11">
        <f>IF($A4='01_Inputs'!$B$9,MAX(0,$N4-$K4),MAX(0,$E4+$G4-$H4-$J4))</f>
        <v>32.489999999999995</v>
      </c>
      <c r="M4" s="13">
        <f>INDEX('02_PIR_Data_Paste'!$D:$D,'03_Map'!$B$2+(A4-'01_Inputs'!$B$8))</f>
        <v>14</v>
      </c>
      <c r="N4" s="11">
        <f t="shared" si="1"/>
        <v>751.80000000000007</v>
      </c>
      <c r="O4" s="12">
        <f t="shared" si="2"/>
        <v>0.6</v>
      </c>
    </row>
    <row r="5" spans="1:15" x14ac:dyDescent="0.25">
      <c r="A5" s="4">
        <v>2027</v>
      </c>
      <c r="B5" s="11">
        <f>INDEX('02_PIR_Data_Paste'!$B:$B,'03_Map'!$B$2+(A5-'01_Inputs'!$B$8))</f>
        <v>56.3</v>
      </c>
      <c r="C5" s="11">
        <f>IF(INDEX('02_PIR_Data_Paste'!$F:$F,'03_Map'!$B$2+(A5-'01_Inputs'!$B$8))&lt;&gt;0,INDEX('02_PIR_Data_Paste'!$F:$F,'03_Map'!$B$2+(A5-'01_Inputs'!$B$8)),'01_Inputs'!$B$28*B5)</f>
        <v>2.8149999999999999</v>
      </c>
      <c r="D5" s="11">
        <f>IF('01_Inputs'!$B$31="YES",INDEX('02_PIR_Data_Paste'!$G:$G,'03_Map'!$B$2+(A5-'01_Inputs'!$B$8)),'01_Inputs'!$B$29)</f>
        <v>0</v>
      </c>
      <c r="E5" s="11">
        <f t="shared" si="0"/>
        <v>53.484999999999999</v>
      </c>
      <c r="F5" s="12">
        <f>INDEX('02_PIR_Data_Paste'!$C:$C,'03_Map'!$B$2+(A5-'01_Inputs'!$B$8))</f>
        <v>5.7000000000000002E-2</v>
      </c>
      <c r="G5" s="11">
        <f>-(IF(A5='01_Inputs'!$B$8,'01_Inputs'!$B$13,K4))*F5</f>
        <v>-25.711560000000002</v>
      </c>
      <c r="H5" s="11">
        <f>INDEX('02_PIR_Data_Paste'!$E:$E,'03_Map'!$B$2+(A5-'01_Inputs'!$B$8))</f>
        <v>0</v>
      </c>
      <c r="I5" s="11">
        <f>IF(AND(OR('03_Map'!$A$2="Base",'03_Map'!$A$2="CEG"),ISNUMBER(SEARCH(","&amp;A5&amp;",",'03_Map'!$B$5))),MAX(0,'01_Inputs'!$B$15*N5-(MAX(0,(IF(A5='01_Inputs'!$B$8,'01_Inputs'!$B$13,K4))-H5)-J5)),0)</f>
        <v>0</v>
      </c>
      <c r="J5" s="11">
        <f>IF(OR('03_Map'!$A$2="Flat",'03_Map'!$A$2="Downside"),IF(A5&gt;='01_Inputs'!$B$17,MIN(MAX(0,INDEX('02_PIR_Data_Paste'!$H:$H,'03_Map'!$B$2+(A5-'01_Inputs'!$B$8))),MAX(0,(IF(A5='01_Inputs'!$B$8,'01_Inputs'!$B$13,K4))-H5)),0),0)</f>
        <v>0</v>
      </c>
      <c r="K5" s="11">
        <f>MAX(0,MAX(0,(IF(A5='01_Inputs'!$B$8,'01_Inputs'!$B$13,K4))-H5)-J5+I5)</f>
        <v>451.08000000000004</v>
      </c>
      <c r="L5" s="11">
        <f>IF($A5='01_Inputs'!$B$9,MAX(0,$N5-$K5),MAX(0,$E5+$G5-$H5-$J5))</f>
        <v>27.773439999999997</v>
      </c>
      <c r="M5" s="13">
        <f>INDEX('02_PIR_Data_Paste'!$D:$D,'03_Map'!$B$2+(A5-'01_Inputs'!$B$8))</f>
        <v>14</v>
      </c>
      <c r="N5" s="11">
        <f t="shared" si="1"/>
        <v>788.19999999999993</v>
      </c>
      <c r="O5" s="12">
        <f t="shared" si="2"/>
        <v>0.57229129662522216</v>
      </c>
    </row>
    <row r="6" spans="1:15" x14ac:dyDescent="0.25">
      <c r="A6" s="4">
        <v>2028</v>
      </c>
      <c r="B6" s="11">
        <f>INDEX('02_PIR_Data_Paste'!$B:$B,'03_Map'!$B$2+(A6-'01_Inputs'!$B$8))</f>
        <v>58.3</v>
      </c>
      <c r="C6" s="11">
        <f>IF(INDEX('02_PIR_Data_Paste'!$F:$F,'03_Map'!$B$2+(A6-'01_Inputs'!$B$8))&lt;&gt;0,INDEX('02_PIR_Data_Paste'!$F:$F,'03_Map'!$B$2+(A6-'01_Inputs'!$B$8)),'01_Inputs'!$B$28*B6)</f>
        <v>2.915</v>
      </c>
      <c r="D6" s="11">
        <f>IF('01_Inputs'!$B$31="YES",INDEX('02_PIR_Data_Paste'!$G:$G,'03_Map'!$B$2+(A6-'01_Inputs'!$B$8)),'01_Inputs'!$B$29)</f>
        <v>0</v>
      </c>
      <c r="E6" s="11">
        <f t="shared" si="0"/>
        <v>55.384999999999998</v>
      </c>
      <c r="F6" s="12">
        <f>INDEX('02_PIR_Data_Paste'!$C:$C,'03_Map'!$B$2+(A6-'01_Inputs'!$B$8))</f>
        <v>5.8999999999999997E-2</v>
      </c>
      <c r="G6" s="11">
        <f>-(IF(A6='01_Inputs'!$B$8,'01_Inputs'!$B$13,K5))*F6</f>
        <v>-26.613720000000001</v>
      </c>
      <c r="H6" s="11">
        <f>INDEX('02_PIR_Data_Paste'!$E:$E,'03_Map'!$B$2+(A6-'01_Inputs'!$B$8))</f>
        <v>0</v>
      </c>
      <c r="I6" s="11">
        <f>IF(AND(OR('03_Map'!$A$2="Base",'03_Map'!$A$2="CEG"),ISNUMBER(SEARCH(","&amp;A6&amp;",",'03_Map'!$B$5))),MAX(0,'01_Inputs'!$B$15*N6-(MAX(0,(IF(A6='01_Inputs'!$B$8,'01_Inputs'!$B$13,K5))-H6)-J6)),0)</f>
        <v>0</v>
      </c>
      <c r="J6" s="11">
        <f>IF(OR('03_Map'!$A$2="Flat",'03_Map'!$A$2="Downside"),IF(A6&gt;='01_Inputs'!$B$17,MIN(MAX(0,INDEX('02_PIR_Data_Paste'!$H:$H,'03_Map'!$B$2+(A6-'01_Inputs'!$B$8))),MAX(0,(IF(A6='01_Inputs'!$B$8,'01_Inputs'!$B$13,K5))-H6)),0),0)</f>
        <v>0</v>
      </c>
      <c r="K6" s="11">
        <f>MAX(0,MAX(0,(IF(A6='01_Inputs'!$B$8,'01_Inputs'!$B$13,K5))-H6)-J6+I6)</f>
        <v>451.08000000000004</v>
      </c>
      <c r="L6" s="11">
        <f>IF($A6='01_Inputs'!$B$9,MAX(0,$N6-$K6),MAX(0,$E6+$G6-$H6-$J6))</f>
        <v>28.771279999999997</v>
      </c>
      <c r="M6" s="13">
        <f>INDEX('02_PIR_Data_Paste'!$D:$D,'03_Map'!$B$2+(A6-'01_Inputs'!$B$8))</f>
        <v>13.6</v>
      </c>
      <c r="N6" s="11">
        <f t="shared" si="1"/>
        <v>792.88</v>
      </c>
      <c r="O6" s="12">
        <f t="shared" si="2"/>
        <v>0.56891332862476041</v>
      </c>
    </row>
    <row r="7" spans="1:15" x14ac:dyDescent="0.25">
      <c r="A7" s="4">
        <v>2029</v>
      </c>
      <c r="B7" s="11">
        <f>INDEX('02_PIR_Data_Paste'!$B:$B,'03_Map'!$B$2+(A7-'01_Inputs'!$B$8))</f>
        <v>59.5</v>
      </c>
      <c r="C7" s="11">
        <f>IF(INDEX('02_PIR_Data_Paste'!$F:$F,'03_Map'!$B$2+(A7-'01_Inputs'!$B$8))&lt;&gt;0,INDEX('02_PIR_Data_Paste'!$F:$F,'03_Map'!$B$2+(A7-'01_Inputs'!$B$8)),'01_Inputs'!$B$28*B7)</f>
        <v>2.9750000000000001</v>
      </c>
      <c r="D7" s="11">
        <f>IF('01_Inputs'!$B$31="YES",INDEX('02_PIR_Data_Paste'!$G:$G,'03_Map'!$B$2+(A7-'01_Inputs'!$B$8)),'01_Inputs'!$B$29)</f>
        <v>0</v>
      </c>
      <c r="E7" s="11">
        <f t="shared" si="0"/>
        <v>56.524999999999999</v>
      </c>
      <c r="F7" s="12">
        <f>INDEX('02_PIR_Data_Paste'!$C:$C,'03_Map'!$B$2+(A7-'01_Inputs'!$B$8))</f>
        <v>5.8999999999999997E-2</v>
      </c>
      <c r="G7" s="11">
        <f>-(IF(A7='01_Inputs'!$B$8,'01_Inputs'!$B$13,K6))*F7</f>
        <v>-26.613720000000001</v>
      </c>
      <c r="H7" s="11">
        <f>INDEX('02_PIR_Data_Paste'!$E:$E,'03_Map'!$B$2+(A7-'01_Inputs'!$B$8))</f>
        <v>0</v>
      </c>
      <c r="I7" s="11">
        <f>IF(AND(OR('03_Map'!$A$2="Base",'03_Map'!$A$2="CEG"),ISNUMBER(SEARCH(","&amp;A7&amp;",",'03_Map'!$B$5))),MAX(0,'01_Inputs'!$B$15*N7-(MAX(0,(IF(A7='01_Inputs'!$B$8,'01_Inputs'!$B$13,K6))-H7)-J7)),0)</f>
        <v>20.159999999999911</v>
      </c>
      <c r="J7" s="11">
        <f>IF(OR('03_Map'!$A$2="Flat",'03_Map'!$A$2="Downside"),IF(A7&gt;='01_Inputs'!$B$17,MIN(MAX(0,INDEX('02_PIR_Data_Paste'!$H:$H,'03_Map'!$B$2+(A7-'01_Inputs'!$B$8))),MAX(0,(IF(A7='01_Inputs'!$B$8,'01_Inputs'!$B$13,K6))-H7)),0),0)</f>
        <v>0</v>
      </c>
      <c r="K7" s="11">
        <f>MAX(0,MAX(0,(IF(A7='01_Inputs'!$B$8,'01_Inputs'!$B$13,K6))-H7)-J7+I7)</f>
        <v>471.23999999999995</v>
      </c>
      <c r="L7" s="11">
        <f>IF($A7='01_Inputs'!$B$9,MAX(0,$N7-$K7),MAX(0,$E7+$G7-$H7-$J7))</f>
        <v>29.911279999999998</v>
      </c>
      <c r="M7" s="13">
        <f>INDEX('02_PIR_Data_Paste'!$D:$D,'03_Map'!$B$2+(A7-'01_Inputs'!$B$8))</f>
        <v>13.2</v>
      </c>
      <c r="N7" s="11">
        <f t="shared" si="1"/>
        <v>785.4</v>
      </c>
      <c r="O7" s="12">
        <f t="shared" si="2"/>
        <v>0.6</v>
      </c>
    </row>
    <row r="8" spans="1:15" x14ac:dyDescent="0.25">
      <c r="A8" s="4">
        <v>2030</v>
      </c>
      <c r="B8" s="11">
        <f>INDEX('02_PIR_Data_Paste'!$B:$B,'03_Map'!$B$2+(A8-'01_Inputs'!$B$8))</f>
        <v>60.3</v>
      </c>
      <c r="C8" s="11">
        <f>IF(INDEX('02_PIR_Data_Paste'!$F:$F,'03_Map'!$B$2+(A8-'01_Inputs'!$B$8))&lt;&gt;0,INDEX('02_PIR_Data_Paste'!$F:$F,'03_Map'!$B$2+(A8-'01_Inputs'!$B$8)),'01_Inputs'!$B$28*B8)</f>
        <v>3.0150000000000001</v>
      </c>
      <c r="D8" s="11">
        <f>IF('01_Inputs'!$B$31="YES",INDEX('02_PIR_Data_Paste'!$G:$G,'03_Map'!$B$2+(A8-'01_Inputs'!$B$8)),'01_Inputs'!$B$29)</f>
        <v>0</v>
      </c>
      <c r="E8" s="11">
        <f t="shared" si="0"/>
        <v>57.284999999999997</v>
      </c>
      <c r="F8" s="12">
        <f>INDEX('02_PIR_Data_Paste'!$C:$C,'03_Map'!$B$2+(A8-'01_Inputs'!$B$8))</f>
        <v>0.06</v>
      </c>
      <c r="G8" s="11">
        <f>-(IF(A8='01_Inputs'!$B$8,'01_Inputs'!$B$13,K7))*F8</f>
        <v>-28.274399999999996</v>
      </c>
      <c r="H8" s="11">
        <f>INDEX('02_PIR_Data_Paste'!$E:$E,'03_Map'!$B$2+(A8-'01_Inputs'!$B$8))</f>
        <v>0</v>
      </c>
      <c r="I8" s="11">
        <f>IF(AND(OR('03_Map'!$A$2="Base",'03_Map'!$A$2="CEG"),ISNUMBER(SEARCH(","&amp;A8&amp;",",'03_Map'!$B$5))),MAX(0,'01_Inputs'!$B$15*N8-(MAX(0,(IF(A8='01_Inputs'!$B$8,'01_Inputs'!$B$13,K7))-H8)-J8)),0)</f>
        <v>0</v>
      </c>
      <c r="J8" s="11">
        <f>IF(OR('03_Map'!$A$2="Flat",'03_Map'!$A$2="Downside"),IF(A8&gt;='01_Inputs'!$B$17,MIN(MAX(0,INDEX('02_PIR_Data_Paste'!$H:$H,'03_Map'!$B$2+(A8-'01_Inputs'!$B$8))),MAX(0,(IF(A8='01_Inputs'!$B$8,'01_Inputs'!$B$13,K7))-H8)),0),0)</f>
        <v>0</v>
      </c>
      <c r="K8" s="11">
        <f>MAX(0,MAX(0,(IF(A8='01_Inputs'!$B$8,'01_Inputs'!$B$13,K7))-H8)-J8+I8)</f>
        <v>471.23999999999995</v>
      </c>
      <c r="L8" s="11">
        <f>IF($A8='01_Inputs'!$B$9,MAX(0,$N8-$K8),MAX(0,$E8+$G8-$H8-$J8))</f>
        <v>29.0106</v>
      </c>
      <c r="M8" s="13">
        <f>INDEX('02_PIR_Data_Paste'!$D:$D,'03_Map'!$B$2+(A8-'01_Inputs'!$B$8))</f>
        <v>12.8</v>
      </c>
      <c r="N8" s="11">
        <f t="shared" si="1"/>
        <v>771.84</v>
      </c>
      <c r="O8" s="12">
        <f t="shared" si="2"/>
        <v>0.61054104477611937</v>
      </c>
    </row>
    <row r="9" spans="1:15" x14ac:dyDescent="0.25">
      <c r="A9" s="4">
        <v>2031</v>
      </c>
      <c r="B9" s="11">
        <f>INDEX('02_PIR_Data_Paste'!$B:$B,'03_Map'!$B$2+(A9-'01_Inputs'!$B$8))</f>
        <v>61.2</v>
      </c>
      <c r="C9" s="11">
        <f>IF(INDEX('02_PIR_Data_Paste'!$F:$F,'03_Map'!$B$2+(A9-'01_Inputs'!$B$8))&lt;&gt;0,INDEX('02_PIR_Data_Paste'!$F:$F,'03_Map'!$B$2+(A9-'01_Inputs'!$B$8)),'01_Inputs'!$B$28*B9)</f>
        <v>3.0600000000000005</v>
      </c>
      <c r="D9" s="11">
        <f>IF('01_Inputs'!$B$31="YES",INDEX('02_PIR_Data_Paste'!$G:$G,'03_Map'!$B$2+(A9-'01_Inputs'!$B$8)),'01_Inputs'!$B$29)</f>
        <v>0</v>
      </c>
      <c r="E9" s="11">
        <f t="shared" si="0"/>
        <v>58.14</v>
      </c>
      <c r="F9" s="12">
        <f>INDEX('02_PIR_Data_Paste'!$C:$C,'03_Map'!$B$2+(A9-'01_Inputs'!$B$8))</f>
        <v>0.06</v>
      </c>
      <c r="G9" s="11">
        <f>-(IF(A9='01_Inputs'!$B$8,'01_Inputs'!$B$13,K8))*F9</f>
        <v>-28.274399999999996</v>
      </c>
      <c r="H9" s="11">
        <f>INDEX('02_PIR_Data_Paste'!$E:$E,'03_Map'!$B$2+(A9-'01_Inputs'!$B$8))</f>
        <v>0</v>
      </c>
      <c r="I9" s="11">
        <f>IF(AND(OR('03_Map'!$A$2="Base",'03_Map'!$A$2="CEG"),ISNUMBER(SEARCH(","&amp;A9&amp;",",'03_Map'!$B$5))),MAX(0,'01_Inputs'!$B$15*N9-(MAX(0,(IF(A9='01_Inputs'!$B$8,'01_Inputs'!$B$13,K8))-H9)-J9)),0)</f>
        <v>0</v>
      </c>
      <c r="J9" s="11">
        <f>IF(OR('03_Map'!$A$2="Flat",'03_Map'!$A$2="Downside"),IF(A9&gt;='01_Inputs'!$B$17,MIN(MAX(0,INDEX('02_PIR_Data_Paste'!$H:$H,'03_Map'!$B$2+(A9-'01_Inputs'!$B$8))),MAX(0,(IF(A9='01_Inputs'!$B$8,'01_Inputs'!$B$13,K8))-H9)),0),0)</f>
        <v>0</v>
      </c>
      <c r="K9" s="11">
        <f>MAX(0,MAX(0,(IF(A9='01_Inputs'!$B$8,'01_Inputs'!$B$13,K8))-H9)-J9+I9)</f>
        <v>471.23999999999995</v>
      </c>
      <c r="L9" s="11">
        <f>IF($A9='01_Inputs'!$B$9,MAX(0,$N9-$K9),MAX(0,$E9+$G9-$H9-$J9))</f>
        <v>29.865600000000004</v>
      </c>
      <c r="M9" s="13">
        <f>INDEX('02_PIR_Data_Paste'!$D:$D,'03_Map'!$B$2+(A9-'01_Inputs'!$B$8))</f>
        <v>12.4</v>
      </c>
      <c r="N9" s="11">
        <f t="shared" si="1"/>
        <v>758.88000000000011</v>
      </c>
      <c r="O9" s="12">
        <f t="shared" si="2"/>
        <v>0.62096774193548376</v>
      </c>
    </row>
    <row r="10" spans="1:15" x14ac:dyDescent="0.25">
      <c r="A10" s="4">
        <v>2032</v>
      </c>
      <c r="B10" s="11">
        <f>INDEX('02_PIR_Data_Paste'!$B:$B,'03_Map'!$B$2+(A10-'01_Inputs'!$B$8))</f>
        <v>62.2</v>
      </c>
      <c r="C10" s="11">
        <f>IF(INDEX('02_PIR_Data_Paste'!$F:$F,'03_Map'!$B$2+(A10-'01_Inputs'!$B$8))&lt;&gt;0,INDEX('02_PIR_Data_Paste'!$F:$F,'03_Map'!$B$2+(A10-'01_Inputs'!$B$8)),'01_Inputs'!$B$28*B10)</f>
        <v>3.1100000000000003</v>
      </c>
      <c r="D10" s="11">
        <f>IF('01_Inputs'!$B$31="YES",INDEX('02_PIR_Data_Paste'!$G:$G,'03_Map'!$B$2+(A10-'01_Inputs'!$B$8)),'01_Inputs'!$B$29)</f>
        <v>0</v>
      </c>
      <c r="E10" s="11">
        <f t="shared" si="0"/>
        <v>59.09</v>
      </c>
      <c r="F10" s="12">
        <f>INDEX('02_PIR_Data_Paste'!$C:$C,'03_Map'!$B$2+(A10-'01_Inputs'!$B$8))</f>
        <v>6.0999999999999999E-2</v>
      </c>
      <c r="G10" s="11">
        <f>-(IF(A10='01_Inputs'!$B$8,'01_Inputs'!$B$13,K9))*F10</f>
        <v>-28.745639999999998</v>
      </c>
      <c r="H10" s="11">
        <f>INDEX('02_PIR_Data_Paste'!$E:$E,'03_Map'!$B$2+(A10-'01_Inputs'!$B$8))</f>
        <v>0</v>
      </c>
      <c r="I10" s="11">
        <f>IF(AND(OR('03_Map'!$A$2="Base",'03_Map'!$A$2="CEG"),ISNUMBER(SEARCH(","&amp;A10&amp;",",'03_Map'!$B$5))),MAX(0,'01_Inputs'!$B$15*N10-(MAX(0,(IF(A10='01_Inputs'!$B$8,'01_Inputs'!$B$13,K9))-H10)-J10)),0)</f>
        <v>0</v>
      </c>
      <c r="J10" s="11">
        <f>IF(OR('03_Map'!$A$2="Flat",'03_Map'!$A$2="Downside"),IF(A10&gt;='01_Inputs'!$B$17,MIN(MAX(0,INDEX('02_PIR_Data_Paste'!$H:$H,'03_Map'!$B$2+(A10-'01_Inputs'!$B$8))),MAX(0,(IF(A10='01_Inputs'!$B$8,'01_Inputs'!$B$13,K9))-H10)),0),0)</f>
        <v>0</v>
      </c>
      <c r="K10" s="11">
        <f>MAX(0,MAX(0,(IF(A10='01_Inputs'!$B$8,'01_Inputs'!$B$13,K9))-H10)-J10+I10)</f>
        <v>471.23999999999995</v>
      </c>
      <c r="L10" s="11">
        <f>IF($A10='01_Inputs'!$B$9,MAX(0,$N10-$K10),MAX(0,$E10+$G10-$H10-$J10))</f>
        <v>30.344360000000005</v>
      </c>
      <c r="M10" s="13">
        <f>INDEX('02_PIR_Data_Paste'!$D:$D,'03_Map'!$B$2+(A10-'01_Inputs'!$B$8))</f>
        <v>12</v>
      </c>
      <c r="N10" s="11">
        <f t="shared" si="1"/>
        <v>746.40000000000009</v>
      </c>
      <c r="O10" s="12">
        <f t="shared" si="2"/>
        <v>0.63135048231511237</v>
      </c>
    </row>
    <row r="11" spans="1:15" x14ac:dyDescent="0.25">
      <c r="A11" s="4">
        <v>2033</v>
      </c>
      <c r="B11" s="11">
        <f>INDEX('02_PIR_Data_Paste'!$B:$B,'03_Map'!$B$2+(A11-'01_Inputs'!$B$8))</f>
        <v>63.3</v>
      </c>
      <c r="C11" s="11">
        <f>IF(INDEX('02_PIR_Data_Paste'!$F:$F,'03_Map'!$B$2+(A11-'01_Inputs'!$B$8))&lt;&gt;0,INDEX('02_PIR_Data_Paste'!$F:$F,'03_Map'!$B$2+(A11-'01_Inputs'!$B$8)),'01_Inputs'!$B$28*B11)</f>
        <v>3.165</v>
      </c>
      <c r="D11" s="11">
        <f>IF('01_Inputs'!$B$31="YES",INDEX('02_PIR_Data_Paste'!$G:$G,'03_Map'!$B$2+(A11-'01_Inputs'!$B$8)),'01_Inputs'!$B$29)</f>
        <v>0</v>
      </c>
      <c r="E11" s="11">
        <f t="shared" si="0"/>
        <v>60.134999999999998</v>
      </c>
      <c r="F11" s="12">
        <f>INDEX('02_PIR_Data_Paste'!$C:$C,'03_Map'!$B$2+(A11-'01_Inputs'!$B$8))</f>
        <v>6.0999999999999999E-2</v>
      </c>
      <c r="G11" s="11">
        <f>-(IF(A11='01_Inputs'!$B$8,'01_Inputs'!$B$13,K10))*F11</f>
        <v>-28.745639999999998</v>
      </c>
      <c r="H11" s="11">
        <f>INDEX('02_PIR_Data_Paste'!$E:$E,'03_Map'!$B$2+(A11-'01_Inputs'!$B$8))</f>
        <v>0</v>
      </c>
      <c r="I11" s="11">
        <f>IF(AND(OR('03_Map'!$A$2="Base",'03_Map'!$A$2="CEG"),ISNUMBER(SEARCH(","&amp;A11&amp;",",'03_Map'!$B$5))),MAX(0,'01_Inputs'!$B$15*N11-(MAX(0,(IF(A11='01_Inputs'!$B$8,'01_Inputs'!$B$13,K10))-H11)-J11)),0)</f>
        <v>0</v>
      </c>
      <c r="J11" s="11">
        <f>IF(OR('03_Map'!$A$2="Flat",'03_Map'!$A$2="Downside"),IF(A11&gt;='01_Inputs'!$B$17,MIN(MAX(0,INDEX('02_PIR_Data_Paste'!$H:$H,'03_Map'!$B$2+(A11-'01_Inputs'!$B$8))),MAX(0,(IF(A11='01_Inputs'!$B$8,'01_Inputs'!$B$13,K10))-H11)),0),0)</f>
        <v>0</v>
      </c>
      <c r="K11" s="11">
        <f>MAX(0,MAX(0,(IF(A11='01_Inputs'!$B$8,'01_Inputs'!$B$13,K10))-H11)-J11+I11)</f>
        <v>471.23999999999995</v>
      </c>
      <c r="L11" s="11">
        <f>IF($A11='01_Inputs'!$B$9,MAX(0,$N11-$K11),MAX(0,$E11+$G11-$H11-$J11))</f>
        <v>31.38936</v>
      </c>
      <c r="M11" s="13">
        <f>INDEX('02_PIR_Data_Paste'!$D:$D,'03_Map'!$B$2+(A11-'01_Inputs'!$B$8))</f>
        <v>12</v>
      </c>
      <c r="N11" s="11">
        <f t="shared" si="1"/>
        <v>759.59999999999991</v>
      </c>
      <c r="O11" s="12">
        <f t="shared" si="2"/>
        <v>0.6203791469194313</v>
      </c>
    </row>
    <row r="12" spans="1:15" x14ac:dyDescent="0.25">
      <c r="A12" s="4">
        <v>2034</v>
      </c>
      <c r="B12" s="11">
        <f>INDEX('02_PIR_Data_Paste'!$B:$B,'03_Map'!$B$2+(A12-'01_Inputs'!$B$8))</f>
        <v>64.3</v>
      </c>
      <c r="C12" s="11">
        <f>IF(INDEX('02_PIR_Data_Paste'!$F:$F,'03_Map'!$B$2+(A12-'01_Inputs'!$B$8))&lt;&gt;0,INDEX('02_PIR_Data_Paste'!$F:$F,'03_Map'!$B$2+(A12-'01_Inputs'!$B$8)),'01_Inputs'!$B$28*B12)</f>
        <v>3.2149999999999999</v>
      </c>
      <c r="D12" s="11">
        <f>IF('01_Inputs'!$B$31="YES",INDEX('02_PIR_Data_Paste'!$G:$G,'03_Map'!$B$2+(A12-'01_Inputs'!$B$8)),'01_Inputs'!$B$29)</f>
        <v>0</v>
      </c>
      <c r="E12" s="11">
        <f t="shared" si="0"/>
        <v>61.084999999999994</v>
      </c>
      <c r="F12" s="12">
        <f>INDEX('02_PIR_Data_Paste'!$C:$C,'03_Map'!$B$2+(A12-'01_Inputs'!$B$8))</f>
        <v>6.2E-2</v>
      </c>
      <c r="G12" s="11">
        <f>-(IF(A12='01_Inputs'!$B$8,'01_Inputs'!$B$13,K11))*F12</f>
        <v>-29.216879999999996</v>
      </c>
      <c r="H12" s="11">
        <f>INDEX('02_PIR_Data_Paste'!$E:$E,'03_Map'!$B$2+(A12-'01_Inputs'!$B$8))</f>
        <v>0</v>
      </c>
      <c r="I12" s="11">
        <f>IF(AND(OR('03_Map'!$A$2="Base",'03_Map'!$A$2="CEG"),ISNUMBER(SEARCH(","&amp;A12&amp;",",'03_Map'!$B$5))),MAX(0,'01_Inputs'!$B$15*N12-(MAX(0,(IF(A12='01_Inputs'!$B$8,'01_Inputs'!$B$13,K11))-H12)-J12)),0)</f>
        <v>0</v>
      </c>
      <c r="J12" s="11">
        <f>IF(OR('03_Map'!$A$2="Flat",'03_Map'!$A$2="Downside"),IF(A12&gt;='01_Inputs'!$B$17,MIN(MAX(0,INDEX('02_PIR_Data_Paste'!$H:$H,'03_Map'!$B$2+(A12-'01_Inputs'!$B$8))),MAX(0,(IF(A12='01_Inputs'!$B$8,'01_Inputs'!$B$13,K11))-H12)),0),0)</f>
        <v>0</v>
      </c>
      <c r="K12" s="11">
        <f>MAX(0,MAX(0,(IF(A12='01_Inputs'!$B$8,'01_Inputs'!$B$13,K11))-H12)-J12+I12)</f>
        <v>471.23999999999995</v>
      </c>
      <c r="L12" s="11">
        <f>IF($A12='01_Inputs'!$B$9,MAX(0,$N12-$K12),MAX(0,$E12+$G12-$H12-$J12))</f>
        <v>31.868119999999998</v>
      </c>
      <c r="M12" s="13">
        <f>INDEX('02_PIR_Data_Paste'!$D:$D,'03_Map'!$B$2+(A12-'01_Inputs'!$B$8))</f>
        <v>12</v>
      </c>
      <c r="N12" s="11">
        <f t="shared" si="1"/>
        <v>771.59999999999991</v>
      </c>
      <c r="O12" s="12">
        <f t="shared" si="2"/>
        <v>0.61073094867807154</v>
      </c>
    </row>
    <row r="13" spans="1:15" x14ac:dyDescent="0.25">
      <c r="A13" s="4">
        <v>2035</v>
      </c>
      <c r="B13" s="11">
        <f>INDEX('02_PIR_Data_Paste'!$B:$B,'03_Map'!$B$2+(A13-'01_Inputs'!$B$8))</f>
        <v>65.099999999999994</v>
      </c>
      <c r="C13" s="11">
        <f>IF(INDEX('02_PIR_Data_Paste'!$F:$F,'03_Map'!$B$2+(A13-'01_Inputs'!$B$8))&lt;&gt;0,INDEX('02_PIR_Data_Paste'!$F:$F,'03_Map'!$B$2+(A13-'01_Inputs'!$B$8)),'01_Inputs'!$B$28*B13)</f>
        <v>3.2549999999999999</v>
      </c>
      <c r="D13" s="11">
        <f>IF('01_Inputs'!$B$31="YES",INDEX('02_PIR_Data_Paste'!$G:$G,'03_Map'!$B$2+(A13-'01_Inputs'!$B$8)),'01_Inputs'!$B$29)</f>
        <v>0</v>
      </c>
      <c r="E13" s="11">
        <f t="shared" si="0"/>
        <v>61.844999999999992</v>
      </c>
      <c r="F13" s="12">
        <f>INDEX('02_PIR_Data_Paste'!$C:$C,'03_Map'!$B$2+(A13-'01_Inputs'!$B$8))</f>
        <v>6.2E-2</v>
      </c>
      <c r="G13" s="11">
        <f>-(IF(A13='01_Inputs'!$B$8,'01_Inputs'!$B$13,K12))*F13</f>
        <v>-29.216879999999996</v>
      </c>
      <c r="H13" s="11">
        <f>INDEX('02_PIR_Data_Paste'!$E:$E,'03_Map'!$B$2+(A13-'01_Inputs'!$B$8))</f>
        <v>0</v>
      </c>
      <c r="I13" s="11">
        <f>IF(AND(OR('03_Map'!$A$2="Base",'03_Map'!$A$2="CEG"),ISNUMBER(SEARCH(","&amp;A13&amp;",",'03_Map'!$B$5))),MAX(0,'01_Inputs'!$B$15*N13-(MAX(0,(IF(A13='01_Inputs'!$B$8,'01_Inputs'!$B$13,K12))-H13)-J13)),0)</f>
        <v>0</v>
      </c>
      <c r="J13" s="11">
        <f>IF(OR('03_Map'!$A$2="Flat",'03_Map'!$A$2="Downside"),IF(A13&gt;='01_Inputs'!$B$17,MIN(MAX(0,INDEX('02_PIR_Data_Paste'!$H:$H,'03_Map'!$B$2+(A13-'01_Inputs'!$B$8))),MAX(0,(IF(A13='01_Inputs'!$B$8,'01_Inputs'!$B$13,K12))-H13)),0),0)</f>
        <v>0</v>
      </c>
      <c r="K13" s="11">
        <f>MAX(0,MAX(0,(IF(A13='01_Inputs'!$B$8,'01_Inputs'!$B$13,K12))-H13)-J13+I13)</f>
        <v>471.23999999999995</v>
      </c>
      <c r="L13" s="11">
        <f>IF($A13='01_Inputs'!$B$9,MAX(0,$N13-$K13),MAX(0,$E13+$G13-$H13-$J13))</f>
        <v>32.628119999999996</v>
      </c>
      <c r="M13" s="13">
        <f>INDEX('02_PIR_Data_Paste'!$D:$D,'03_Map'!$B$2+(A13-'01_Inputs'!$B$8))</f>
        <v>12</v>
      </c>
      <c r="N13" s="11">
        <f t="shared" si="1"/>
        <v>781.19999999999993</v>
      </c>
      <c r="O13" s="12">
        <f t="shared" si="2"/>
        <v>0.60322580645161294</v>
      </c>
    </row>
    <row r="14" spans="1:15" x14ac:dyDescent="0.25">
      <c r="A14" s="4">
        <v>2036</v>
      </c>
      <c r="B14" s="11">
        <f>INDEX('02_PIR_Data_Paste'!$B:$B,'03_Map'!$B$2+(A14-'01_Inputs'!$B$8))</f>
        <v>65.8</v>
      </c>
      <c r="C14" s="11">
        <f>IF(INDEX('02_PIR_Data_Paste'!$F:$F,'03_Map'!$B$2+(A14-'01_Inputs'!$B$8))&lt;&gt;0,INDEX('02_PIR_Data_Paste'!$F:$F,'03_Map'!$B$2+(A14-'01_Inputs'!$B$8)),'01_Inputs'!$B$28*B14)</f>
        <v>3.29</v>
      </c>
      <c r="D14" s="11">
        <f>IF('01_Inputs'!$B$31="YES",INDEX('02_PIR_Data_Paste'!$G:$G,'03_Map'!$B$2+(A14-'01_Inputs'!$B$8)),'01_Inputs'!$B$29)</f>
        <v>0</v>
      </c>
      <c r="E14" s="11">
        <f t="shared" si="0"/>
        <v>62.51</v>
      </c>
      <c r="F14" s="12">
        <f>INDEX('02_PIR_Data_Paste'!$C:$C,'03_Map'!$B$2+(A14-'01_Inputs'!$B$8))</f>
        <v>6.2E-2</v>
      </c>
      <c r="G14" s="11">
        <f>-(IF(A14='01_Inputs'!$B$8,'01_Inputs'!$B$13,K13))*F14</f>
        <v>-29.216879999999996</v>
      </c>
      <c r="H14" s="11">
        <f>INDEX('02_PIR_Data_Paste'!$E:$E,'03_Map'!$B$2+(A14-'01_Inputs'!$B$8))</f>
        <v>0</v>
      </c>
      <c r="I14" s="11">
        <f>IF(AND(OR('03_Map'!$A$2="Base",'03_Map'!$A$2="CEG"),ISNUMBER(SEARCH(","&amp;A14&amp;",",'03_Map'!$B$5))),MAX(0,'01_Inputs'!$B$15*N14-(MAX(0,(IF(A14='01_Inputs'!$B$8,'01_Inputs'!$B$13,K13))-H14)-J14)),0)</f>
        <v>0</v>
      </c>
      <c r="J14" s="11">
        <f>IF(OR('03_Map'!$A$2="Flat",'03_Map'!$A$2="Downside"),IF(A14&gt;='01_Inputs'!$B$17,MIN(MAX(0,INDEX('02_PIR_Data_Paste'!$H:$H,'03_Map'!$B$2+(A14-'01_Inputs'!$B$8))),MAX(0,(IF(A14='01_Inputs'!$B$8,'01_Inputs'!$B$13,K13))-H14)),0),0)</f>
        <v>0</v>
      </c>
      <c r="K14" s="11">
        <f>MAX(0,MAX(0,(IF(A14='01_Inputs'!$B$8,'01_Inputs'!$B$13,K13))-H14)-J14+I14)</f>
        <v>471.23999999999995</v>
      </c>
      <c r="L14" s="11">
        <f>IF($A14='01_Inputs'!$B$9,MAX(0,$N14-$K14),MAX(0,$E14+$G14-$H14-$J14))</f>
        <v>33.293120000000002</v>
      </c>
      <c r="M14" s="13">
        <f>INDEX('02_PIR_Data_Paste'!$D:$D,'03_Map'!$B$2+(A14-'01_Inputs'!$B$8))</f>
        <v>12</v>
      </c>
      <c r="N14" s="11">
        <f t="shared" si="1"/>
        <v>789.59999999999991</v>
      </c>
      <c r="O14" s="12">
        <f t="shared" si="2"/>
        <v>0.59680851063829787</v>
      </c>
    </row>
    <row r="15" spans="1:15" x14ac:dyDescent="0.25">
      <c r="A15" s="4">
        <v>2037</v>
      </c>
      <c r="B15" s="11">
        <f>INDEX('02_PIR_Data_Paste'!$B:$B,'03_Map'!$B$2+(A15-'01_Inputs'!$B$8))</f>
        <v>66.400000000000006</v>
      </c>
      <c r="C15" s="11">
        <f>IF(INDEX('02_PIR_Data_Paste'!$F:$F,'03_Map'!$B$2+(A15-'01_Inputs'!$B$8))&lt;&gt;0,INDEX('02_PIR_Data_Paste'!$F:$F,'03_Map'!$B$2+(A15-'01_Inputs'!$B$8)),'01_Inputs'!$B$28*B15)</f>
        <v>3.3200000000000003</v>
      </c>
      <c r="D15" s="11">
        <f>IF('01_Inputs'!$B$31="YES",INDEX('02_PIR_Data_Paste'!$G:$G,'03_Map'!$B$2+(A15-'01_Inputs'!$B$8)),'01_Inputs'!$B$29)</f>
        <v>0</v>
      </c>
      <c r="E15" s="11">
        <f t="shared" si="0"/>
        <v>63.080000000000005</v>
      </c>
      <c r="F15" s="12">
        <f>INDEX('02_PIR_Data_Paste'!$C:$C,'03_Map'!$B$2+(A15-'01_Inputs'!$B$8))</f>
        <v>6.2E-2</v>
      </c>
      <c r="G15" s="11">
        <f>-(IF(A15='01_Inputs'!$B$8,'01_Inputs'!$B$13,K14))*F15</f>
        <v>-29.216879999999996</v>
      </c>
      <c r="H15" s="11">
        <f>INDEX('02_PIR_Data_Paste'!$E:$E,'03_Map'!$B$2+(A15-'01_Inputs'!$B$8))</f>
        <v>0</v>
      </c>
      <c r="I15" s="11">
        <f>IF(AND(OR('03_Map'!$A$2="Base",'03_Map'!$A$2="CEG"),ISNUMBER(SEARCH(","&amp;A15&amp;",",'03_Map'!$B$5))),MAX(0,'01_Inputs'!$B$15*N15-(MAX(0,(IF(A15='01_Inputs'!$B$8,'01_Inputs'!$B$13,K14))-H15)-J15)),0)</f>
        <v>0</v>
      </c>
      <c r="J15" s="11">
        <f>IF(OR('03_Map'!$A$2="Flat",'03_Map'!$A$2="Downside"),IF(A15&gt;='01_Inputs'!$B$17,MIN(MAX(0,INDEX('02_PIR_Data_Paste'!$H:$H,'03_Map'!$B$2+(A15-'01_Inputs'!$B$8))),MAX(0,(IF(A15='01_Inputs'!$B$8,'01_Inputs'!$B$13,K14))-H15)),0),0)</f>
        <v>0</v>
      </c>
      <c r="K15" s="11">
        <f>MAX(0,MAX(0,(IF(A15='01_Inputs'!$B$8,'01_Inputs'!$B$13,K14))-H15)-J15+I15)</f>
        <v>471.23999999999995</v>
      </c>
      <c r="L15" s="11">
        <f>IF($A15='01_Inputs'!$B$9,MAX(0,$N15-$K15),MAX(0,$E15+$G15-$H15-$J15))</f>
        <v>33.863120000000009</v>
      </c>
      <c r="M15" s="13">
        <f>INDEX('02_PIR_Data_Paste'!$D:$D,'03_Map'!$B$2+(A15-'01_Inputs'!$B$8))</f>
        <v>12</v>
      </c>
      <c r="N15" s="11">
        <f t="shared" si="1"/>
        <v>796.80000000000007</v>
      </c>
      <c r="O15" s="12">
        <f t="shared" si="2"/>
        <v>0.5914156626506023</v>
      </c>
    </row>
    <row r="16" spans="1:15" x14ac:dyDescent="0.25">
      <c r="A16" s="4">
        <v>2038</v>
      </c>
      <c r="B16" s="11">
        <f>INDEX('02_PIR_Data_Paste'!$B:$B,'03_Map'!$B$2+(A16-'01_Inputs'!$B$8))</f>
        <v>67</v>
      </c>
      <c r="C16" s="11">
        <f>IF(INDEX('02_PIR_Data_Paste'!$F:$F,'03_Map'!$B$2+(A16-'01_Inputs'!$B$8))&lt;&gt;0,INDEX('02_PIR_Data_Paste'!$F:$F,'03_Map'!$B$2+(A16-'01_Inputs'!$B$8)),'01_Inputs'!$B$28*B16)</f>
        <v>3.35</v>
      </c>
      <c r="D16" s="11">
        <f>IF('01_Inputs'!$B$31="YES",INDEX('02_PIR_Data_Paste'!$G:$G,'03_Map'!$B$2+(A16-'01_Inputs'!$B$8)),'01_Inputs'!$B$29)</f>
        <v>0</v>
      </c>
      <c r="E16" s="11">
        <f t="shared" si="0"/>
        <v>63.65</v>
      </c>
      <c r="F16" s="12">
        <f>INDEX('02_PIR_Data_Paste'!$C:$C,'03_Map'!$B$2+(A16-'01_Inputs'!$B$8))</f>
        <v>6.2E-2</v>
      </c>
      <c r="G16" s="11">
        <f>-(IF(A16='01_Inputs'!$B$8,'01_Inputs'!$B$13,K15))*F16</f>
        <v>-29.216879999999996</v>
      </c>
      <c r="H16" s="11">
        <f>INDEX('02_PIR_Data_Paste'!$E:$E,'03_Map'!$B$2+(A16-'01_Inputs'!$B$8))</f>
        <v>0</v>
      </c>
      <c r="I16" s="11">
        <f>IF(AND(OR('03_Map'!$A$2="Base",'03_Map'!$A$2="CEG"),ISNUMBER(SEARCH(","&amp;A16&amp;",",'03_Map'!$B$5))),MAX(0,'01_Inputs'!$B$15*N16-(MAX(0,(IF(A16='01_Inputs'!$B$8,'01_Inputs'!$B$13,K15))-H16)-J16)),0)</f>
        <v>0</v>
      </c>
      <c r="J16" s="11">
        <f>IF(OR('03_Map'!$A$2="Flat",'03_Map'!$A$2="Downside"),IF(A16&gt;='01_Inputs'!$B$17,MIN(MAX(0,INDEX('02_PIR_Data_Paste'!$H:$H,'03_Map'!$B$2+(A16-'01_Inputs'!$B$8))),MAX(0,(IF(A16='01_Inputs'!$B$8,'01_Inputs'!$B$13,K15))-H16)),0),0)</f>
        <v>0</v>
      </c>
      <c r="K16" s="11">
        <f>MAX(0,MAX(0,(IF(A16='01_Inputs'!$B$8,'01_Inputs'!$B$13,K15))-H16)-J16+I16)</f>
        <v>471.23999999999995</v>
      </c>
      <c r="L16" s="11">
        <f>IF($A16='01_Inputs'!$B$9,MAX(0,$N16-$K16),MAX(0,$E16+$G16-$H16-$J16))</f>
        <v>34.433120000000002</v>
      </c>
      <c r="M16" s="13">
        <f>INDEX('02_PIR_Data_Paste'!$D:$D,'03_Map'!$B$2+(A16-'01_Inputs'!$B$8))</f>
        <v>12</v>
      </c>
      <c r="N16" s="11">
        <f t="shared" si="1"/>
        <v>804</v>
      </c>
      <c r="O16" s="12">
        <f t="shared" si="2"/>
        <v>0.58611940298507459</v>
      </c>
    </row>
    <row r="17" spans="1:15" x14ac:dyDescent="0.25">
      <c r="A17" s="4">
        <v>2039</v>
      </c>
      <c r="B17" s="11">
        <f>INDEX('02_PIR_Data_Paste'!$B:$B,'03_Map'!$B$2+(A17-'01_Inputs'!$B$8))</f>
        <v>67.5</v>
      </c>
      <c r="C17" s="11">
        <f>IF(INDEX('02_PIR_Data_Paste'!$F:$F,'03_Map'!$B$2+(A17-'01_Inputs'!$B$8))&lt;&gt;0,INDEX('02_PIR_Data_Paste'!$F:$F,'03_Map'!$B$2+(A17-'01_Inputs'!$B$8)),'01_Inputs'!$B$28*B17)</f>
        <v>3.375</v>
      </c>
      <c r="D17" s="11">
        <f>IF('01_Inputs'!$B$31="YES",INDEX('02_PIR_Data_Paste'!$G:$G,'03_Map'!$B$2+(A17-'01_Inputs'!$B$8)),'01_Inputs'!$B$29)</f>
        <v>0</v>
      </c>
      <c r="E17" s="11">
        <f t="shared" si="0"/>
        <v>64.125</v>
      </c>
      <c r="F17" s="12">
        <f>INDEX('02_PIR_Data_Paste'!$C:$C,'03_Map'!$B$2+(A17-'01_Inputs'!$B$8))</f>
        <v>6.2E-2</v>
      </c>
      <c r="G17" s="11">
        <f>-(IF(A17='01_Inputs'!$B$8,'01_Inputs'!$B$13,K16))*F17</f>
        <v>-29.216879999999996</v>
      </c>
      <c r="H17" s="11">
        <f>INDEX('02_PIR_Data_Paste'!$E:$E,'03_Map'!$B$2+(A17-'01_Inputs'!$B$8))</f>
        <v>0</v>
      </c>
      <c r="I17" s="11">
        <f>IF(AND(OR('03_Map'!$A$2="Base",'03_Map'!$A$2="CEG"),ISNUMBER(SEARCH(","&amp;A17&amp;",",'03_Map'!$B$5))),MAX(0,'01_Inputs'!$B$15*N17-(MAX(0,(IF(A17='01_Inputs'!$B$8,'01_Inputs'!$B$13,K16))-H17)-J17)),0)</f>
        <v>0</v>
      </c>
      <c r="J17" s="11">
        <f>IF(OR('03_Map'!$A$2="Flat",'03_Map'!$A$2="Downside"),IF(A17&gt;='01_Inputs'!$B$17,MIN(MAX(0,INDEX('02_PIR_Data_Paste'!$H:$H,'03_Map'!$B$2+(A17-'01_Inputs'!$B$8))),MAX(0,(IF(A17='01_Inputs'!$B$8,'01_Inputs'!$B$13,K16))-H17)),0),0)</f>
        <v>0</v>
      </c>
      <c r="K17" s="11">
        <f>MAX(0,MAX(0,(IF(A17='01_Inputs'!$B$8,'01_Inputs'!$B$13,K16))-H17)-J17+I17)</f>
        <v>471.23999999999995</v>
      </c>
      <c r="L17" s="11">
        <f>IF($A17='01_Inputs'!$B$9,MAX(0,$N17-$K17),MAX(0,$E17+$G17-$H17-$J17))</f>
        <v>338.76000000000005</v>
      </c>
      <c r="M17" s="13">
        <f>INDEX('02_PIR_Data_Paste'!$D:$D,'03_Map'!$B$2+(A17-'01_Inputs'!$B$8))</f>
        <v>12</v>
      </c>
      <c r="N17" s="11">
        <f t="shared" si="1"/>
        <v>810</v>
      </c>
      <c r="O17" s="12">
        <f t="shared" si="2"/>
        <v>0.58177777777777773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1" width="26" customWidth="1"/>
    <col min="2" max="2" width="18" customWidth="1"/>
    <col min="3" max="3" width="60" customWidth="1"/>
  </cols>
  <sheetData>
    <row r="1" spans="1:3" x14ac:dyDescent="0.25">
      <c r="A1" s="1" t="s">
        <v>110</v>
      </c>
      <c r="B1" s="1" t="s">
        <v>1</v>
      </c>
      <c r="C1" s="1" t="s">
        <v>2</v>
      </c>
    </row>
    <row r="2" spans="1:3" x14ac:dyDescent="0.25">
      <c r="A2" s="2" t="s">
        <v>4</v>
      </c>
      <c r="B2" s="11" t="str">
        <f>'01_Inputs'!B5</f>
        <v>Base</v>
      </c>
      <c r="C2" s="4"/>
    </row>
    <row r="3" spans="1:3" ht="30" x14ac:dyDescent="0.25">
      <c r="A3" s="2" t="s">
        <v>111</v>
      </c>
      <c r="B3" s="11">
        <f>'01_Inputs'!$B$35*SUM('04_Waterfall'!$L$2:$L$17)</f>
        <v>235.75273131649334</v>
      </c>
      <c r="C3" s="4" t="s">
        <v>112</v>
      </c>
    </row>
    <row r="4" spans="1:3" x14ac:dyDescent="0.25">
      <c r="A4" s="2" t="s">
        <v>113</v>
      </c>
      <c r="B4" s="11">
        <f>MAX('04_Waterfall'!K2:K17)</f>
        <v>471.23999999999995</v>
      </c>
      <c r="C4" s="4"/>
    </row>
    <row r="5" spans="1:3" x14ac:dyDescent="0.25">
      <c r="A5" s="2" t="s">
        <v>114</v>
      </c>
      <c r="B5" s="11">
        <f>MIN('04_Waterfall'!O2:O17)</f>
        <v>0.4615166145981256</v>
      </c>
      <c r="C5" s="4"/>
    </row>
    <row r="6" spans="1:3" x14ac:dyDescent="0.25">
      <c r="A6" s="2" t="s">
        <v>115</v>
      </c>
      <c r="B6" s="11">
        <f>MAX('04_Waterfall'!O2:O17)</f>
        <v>0.63135048231511237</v>
      </c>
      <c r="C6" s="4"/>
    </row>
    <row r="7" spans="1:3" x14ac:dyDescent="0.25">
      <c r="A7" s="2" t="s">
        <v>116</v>
      </c>
      <c r="B7" s="11">
        <f>'04_Waterfall'!N17</f>
        <v>810</v>
      </c>
      <c r="C7" s="4"/>
    </row>
    <row r="8" spans="1:3" x14ac:dyDescent="0.25">
      <c r="A8" s="2" t="s">
        <v>117</v>
      </c>
      <c r="B8" s="11">
        <f>'04_Waterfall'!K17</f>
        <v>471.23999999999995</v>
      </c>
      <c r="C8" s="4"/>
    </row>
    <row r="9" spans="1:3" x14ac:dyDescent="0.25">
      <c r="A9" s="2" t="s">
        <v>118</v>
      </c>
      <c r="B9" s="11">
        <f>'01_Inputs'!$B$35*('04_Waterfall'!N17-'04_Waterfall'!K17)</f>
        <v>100.06758989598814</v>
      </c>
      <c r="C9" s="4" t="s">
        <v>119</v>
      </c>
    </row>
    <row r="10" spans="1:3" x14ac:dyDescent="0.25">
      <c r="A10" t="s">
        <v>2</v>
      </c>
      <c r="C10" t="s">
        <v>120</v>
      </c>
    </row>
    <row r="11" spans="1:3" x14ac:dyDescent="0.25">
      <c r="A11" t="s">
        <v>121</v>
      </c>
      <c r="B11" s="16">
        <f>'01_Inputs'!B33</f>
        <v>99.4</v>
      </c>
    </row>
    <row r="12" spans="1:3" x14ac:dyDescent="0.25">
      <c r="A12" t="s">
        <v>122</v>
      </c>
      <c r="B12" s="17">
        <f>IF(B11=0,0,B3/B11)</f>
        <v>2.3717578603268947</v>
      </c>
    </row>
    <row r="13" spans="1:3" x14ac:dyDescent="0.25">
      <c r="A13" t="s">
        <v>123</v>
      </c>
      <c r="B13" s="18">
        <f>IFERROR(IRR($B$16:$B$31),"")</f>
        <v>9.7465119330754524E-2</v>
      </c>
    </row>
    <row r="15" spans="1:3" x14ac:dyDescent="0.25">
      <c r="A15" t="s">
        <v>95</v>
      </c>
      <c r="B15" t="s">
        <v>124</v>
      </c>
    </row>
    <row r="16" spans="1:3" x14ac:dyDescent="0.25">
      <c r="A16">
        <v>2024</v>
      </c>
      <c r="B16">
        <f>-B11+'01_Inputs'!$B$35*'04_Waterfall'!L2</f>
        <v>-92.278056463595846</v>
      </c>
    </row>
    <row r="17" spans="1:2" x14ac:dyDescent="0.25">
      <c r="A17">
        <v>2025</v>
      </c>
      <c r="B17">
        <f>'01_Inputs'!$B$35*'04_Waterfall'!L3</f>
        <v>8.7392243684992561</v>
      </c>
    </row>
    <row r="18" spans="1:2" x14ac:dyDescent="0.25">
      <c r="A18">
        <v>2026</v>
      </c>
      <c r="B18">
        <f>'01_Inputs'!$B$35*'04_Waterfall'!L4</f>
        <v>9.5973432392273388</v>
      </c>
    </row>
    <row r="19" spans="1:2" x14ac:dyDescent="0.25">
      <c r="A19">
        <v>2027</v>
      </c>
      <c r="B19">
        <f>'01_Inputs'!$B$35*'04_Waterfall'!L5</f>
        <v>8.2041008499257053</v>
      </c>
    </row>
    <row r="20" spans="1:2" x14ac:dyDescent="0.25">
      <c r="A20">
        <v>2028</v>
      </c>
      <c r="B20">
        <f>'01_Inputs'!$B$35*'04_Waterfall'!L6</f>
        <v>8.4988565586924221</v>
      </c>
    </row>
    <row r="21" spans="1:2" x14ac:dyDescent="0.25">
      <c r="A21">
        <v>2029</v>
      </c>
      <c r="B21">
        <f>'01_Inputs'!$B$35*'04_Waterfall'!L7</f>
        <v>8.835605444279345</v>
      </c>
    </row>
    <row r="22" spans="1:2" x14ac:dyDescent="0.25">
      <c r="A22">
        <v>2030</v>
      </c>
      <c r="B22">
        <f>'01_Inputs'!$B$35*'04_Waterfall'!L8</f>
        <v>8.5695501931649325</v>
      </c>
    </row>
    <row r="23" spans="1:2" x14ac:dyDescent="0.25">
      <c r="A23">
        <v>2031</v>
      </c>
      <c r="B23">
        <f>'01_Inputs'!$B$35*'04_Waterfall'!L9</f>
        <v>8.8221118573551269</v>
      </c>
    </row>
    <row r="24" spans="1:2" x14ac:dyDescent="0.25">
      <c r="A24">
        <v>2032</v>
      </c>
      <c r="B24">
        <f>'01_Inputs'!$B$35*'04_Waterfall'!L10</f>
        <v>8.9635345735512644</v>
      </c>
    </row>
    <row r="25" spans="1:2" x14ac:dyDescent="0.25">
      <c r="A25">
        <v>2033</v>
      </c>
      <c r="B25">
        <f>'01_Inputs'!$B$35*'04_Waterfall'!L11</f>
        <v>9.2722210520059445</v>
      </c>
    </row>
    <row r="26" spans="1:2" x14ac:dyDescent="0.25">
      <c r="A26">
        <v>2034</v>
      </c>
      <c r="B26">
        <f>'01_Inputs'!$B$35*'04_Waterfall'!L12</f>
        <v>9.4136437682020802</v>
      </c>
    </row>
    <row r="27" spans="1:2" x14ac:dyDescent="0.25">
      <c r="A27">
        <v>2035</v>
      </c>
      <c r="B27">
        <f>'01_Inputs'!$B$35*'04_Waterfall'!L13</f>
        <v>9.6381430252600282</v>
      </c>
    </row>
    <row r="28" spans="1:2" x14ac:dyDescent="0.25">
      <c r="A28">
        <v>2036</v>
      </c>
      <c r="B28">
        <f>'01_Inputs'!$B$35*'04_Waterfall'!L14</f>
        <v>9.834579875185737</v>
      </c>
    </row>
    <row r="29" spans="1:2" x14ac:dyDescent="0.25">
      <c r="A29">
        <v>2037</v>
      </c>
      <c r="B29">
        <f>'01_Inputs'!$B$35*'04_Waterfall'!L15</f>
        <v>10.002954317979201</v>
      </c>
    </row>
    <row r="30" spans="1:2" x14ac:dyDescent="0.25">
      <c r="A30">
        <v>2038</v>
      </c>
      <c r="B30">
        <f>'01_Inputs'!$B$35*'04_Waterfall'!L16</f>
        <v>10.17132876077266</v>
      </c>
    </row>
    <row r="31" spans="1:2" x14ac:dyDescent="0.25">
      <c r="A31">
        <v>2039</v>
      </c>
      <c r="B31">
        <f>'01_Inputs'!$B$35*'04_Waterfall'!L17</f>
        <v>100.06758989598814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1" width="42" customWidth="1"/>
    <col min="2" max="2" width="22" customWidth="1"/>
    <col min="3" max="3" width="12" customWidth="1"/>
    <col min="4" max="4" width="46" customWidth="1"/>
  </cols>
  <sheetData>
    <row r="1" spans="1:4" x14ac:dyDescent="0.25">
      <c r="A1" s="1" t="s">
        <v>125</v>
      </c>
      <c r="B1" s="1" t="s">
        <v>126</v>
      </c>
      <c r="C1" s="1" t="s">
        <v>127</v>
      </c>
      <c r="D1" s="1" t="s">
        <v>128</v>
      </c>
    </row>
    <row r="2" spans="1:4" ht="28.5" customHeight="1" x14ac:dyDescent="0.25">
      <c r="A2" s="2" t="s">
        <v>129</v>
      </c>
      <c r="B2" s="4">
        <f>IF('01_Inputs'!$B$31="YES",COUNTBLANK('04_Waterfall'!$D$2:$D$17)+COUNTIF('04_Waterfall'!$D$2:$D$17,"#N/A"),0)</f>
        <v>0</v>
      </c>
      <c r="C2" s="4" t="str">
        <f>IF($B2=0,"OK","FIX")</f>
        <v>OK</v>
      </c>
      <c r="D2" s="4" t="s">
        <v>130</v>
      </c>
    </row>
    <row r="3" spans="1:4" ht="28.5" customHeight="1" x14ac:dyDescent="0.25">
      <c r="A3" s="2" t="s">
        <v>131</v>
      </c>
      <c r="B3" s="4">
        <f>COUNTIF('04_Waterfall'!J2:J17,"#N/A")</f>
        <v>0</v>
      </c>
      <c r="C3" s="4" t="str">
        <f>IF('01_Inputs'!B31="YES",IF(B3=0,"OK","FIX"),"INFO")</f>
        <v>OK</v>
      </c>
      <c r="D3" s="4" t="s">
        <v>132</v>
      </c>
    </row>
    <row r="4" spans="1:4" ht="28.5" customHeight="1" x14ac:dyDescent="0.25">
      <c r="A4" s="2" t="s">
        <v>133</v>
      </c>
      <c r="B4" s="4">
        <f>COUNTIF('02_PIR_Data_Paste'!F:F,"&gt;0")</f>
        <v>0</v>
      </c>
      <c r="C4" s="4" t="s">
        <v>134</v>
      </c>
      <c r="D4" s="4" t="s">
        <v>135</v>
      </c>
    </row>
    <row r="6" spans="1:4" ht="32.1" customHeight="1" x14ac:dyDescent="0.25">
      <c r="A6" s="22" t="s">
        <v>136</v>
      </c>
      <c r="B6" s="23">
        <f>COUNTBLANK('07_Export'!A2:S17)</f>
        <v>0</v>
      </c>
      <c r="C6" s="23" t="str">
        <f>IF(B6=0,"OK","FIX")</f>
        <v>OK</v>
      </c>
      <c r="D6" s="23" t="s">
        <v>137</v>
      </c>
    </row>
    <row r="7" spans="1:4" ht="32.1" customHeight="1" x14ac:dyDescent="0.25">
      <c r="A7" s="22" t="s">
        <v>138</v>
      </c>
      <c r="B7" s="23">
        <f>COUNTIF('07_Export'!A2:S17,"#N/A")+COUNTIF('07_Export'!A2:S17,"#REF!")+COUNTIF('07_Export'!A2:S17,"#DIV/0!")+COUNTIF('07_Export'!A2:S17,"#VALUE!")+COUNTIF('07_Export'!A2:S17,"#NAME?")</f>
        <v>0</v>
      </c>
      <c r="C7" s="23" t="str">
        <f>IF(B7=0,"OK","FIX")</f>
        <v>OK</v>
      </c>
      <c r="D7" s="23" t="s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9"/>
  <sheetViews>
    <sheetView tabSelected="1" workbookViewId="0">
      <pane ySplit="1" topLeftCell="A2" activePane="bottomLeft" state="frozen"/>
      <selection pane="bottomLeft" activeCell="X31" sqref="X31"/>
    </sheetView>
  </sheetViews>
  <sheetFormatPr baseColWidth="10" defaultColWidth="9" defaultRowHeight="15" x14ac:dyDescent="0.25"/>
  <cols>
    <col min="1" max="1" width="12" customWidth="1"/>
    <col min="2" max="2" width="8.140625" customWidth="1"/>
    <col min="3" max="3" width="20" customWidth="1"/>
    <col min="4" max="4" width="12" customWidth="1"/>
    <col min="5" max="5" width="16" customWidth="1"/>
    <col min="6" max="6" width="14" customWidth="1"/>
    <col min="7" max="7" width="12" customWidth="1"/>
    <col min="8" max="10" width="14" customWidth="1"/>
    <col min="11" max="12" width="12" customWidth="1"/>
    <col min="13" max="13" width="16" customWidth="1"/>
    <col min="14" max="15" width="12" customWidth="1"/>
    <col min="16" max="17" width="10" customWidth="1"/>
    <col min="18" max="18" width="12" customWidth="1"/>
    <col min="19" max="19" width="14" customWidth="1"/>
  </cols>
  <sheetData>
    <row r="1" spans="1:19" ht="33" customHeight="1" x14ac:dyDescent="0.25">
      <c r="A1" s="10" t="s">
        <v>4</v>
      </c>
      <c r="B1" s="10" t="s">
        <v>95</v>
      </c>
      <c r="C1" s="10" t="s">
        <v>140</v>
      </c>
      <c r="D1" s="10" t="s">
        <v>141</v>
      </c>
      <c r="E1" s="10" t="s">
        <v>142</v>
      </c>
      <c r="F1" s="10" t="s">
        <v>143</v>
      </c>
      <c r="G1" s="10" t="s">
        <v>144</v>
      </c>
      <c r="H1" s="10" t="s">
        <v>145</v>
      </c>
      <c r="I1" s="10" t="s">
        <v>146</v>
      </c>
      <c r="J1" s="10" t="s">
        <v>147</v>
      </c>
      <c r="K1" s="10" t="s">
        <v>148</v>
      </c>
      <c r="L1" s="10" t="s">
        <v>149</v>
      </c>
      <c r="M1" s="10" t="s">
        <v>150</v>
      </c>
      <c r="N1" s="10" t="s">
        <v>151</v>
      </c>
      <c r="O1" s="10" t="s">
        <v>108</v>
      </c>
      <c r="P1" s="10" t="s">
        <v>109</v>
      </c>
      <c r="Q1" s="10" t="s">
        <v>152</v>
      </c>
      <c r="R1" s="10" t="s">
        <v>153</v>
      </c>
      <c r="S1" s="10" t="s">
        <v>154</v>
      </c>
    </row>
    <row r="2" spans="1:19" ht="18" customHeight="1" x14ac:dyDescent="0.25">
      <c r="A2" s="9" t="str">
        <f>'01_Inputs'!$B$5</f>
        <v>Base</v>
      </c>
      <c r="B2" s="34">
        <f>'04_Waterfall'!A2</f>
        <v>2024</v>
      </c>
      <c r="C2" s="24">
        <f>'04_Waterfall'!B2</f>
        <v>46.8</v>
      </c>
      <c r="D2" s="24">
        <f>'04_Waterfall'!C2</f>
        <v>2.34</v>
      </c>
      <c r="E2" s="24">
        <f>'04_Waterfall'!D2</f>
        <v>0.2</v>
      </c>
      <c r="F2" s="25">
        <f>'04_Waterfall'!E2</f>
        <v>44.259999999999991</v>
      </c>
      <c r="G2" s="24">
        <f>'04_Waterfall'!F2</f>
        <v>6.2E-2</v>
      </c>
      <c r="H2" s="24">
        <f>'04_Waterfall'!G2</f>
        <v>-20.149999999999999</v>
      </c>
      <c r="I2" s="24">
        <f>'04_Waterfall'!H2</f>
        <v>0</v>
      </c>
      <c r="J2" s="24">
        <f>'04_Waterfall'!I2</f>
        <v>0</v>
      </c>
      <c r="K2" s="24">
        <f>'04_Waterfall'!J2</f>
        <v>0</v>
      </c>
      <c r="L2" s="24">
        <f>'04_Waterfall'!K2</f>
        <v>325</v>
      </c>
      <c r="M2" s="26">
        <f>'04_Waterfall'!L2</f>
        <v>24.109999999999992</v>
      </c>
      <c r="N2" s="24">
        <f>'04_Waterfall'!M2</f>
        <v>14</v>
      </c>
      <c r="O2" s="25">
        <f>'04_Waterfall'!N2</f>
        <v>655.19999999999993</v>
      </c>
      <c r="P2" s="27">
        <f>'04_Waterfall'!O2</f>
        <v>0.4960317460317461</v>
      </c>
      <c r="Q2" s="27">
        <f>'01_Inputs'!$B$35</f>
        <v>0.29539375928677564</v>
      </c>
      <c r="R2" s="27">
        <f>'01_Inputs'!$B$33</f>
        <v>99.4</v>
      </c>
      <c r="S2" s="27">
        <f>'05_Outputs'!B16</f>
        <v>-92.278056463595846</v>
      </c>
    </row>
    <row r="3" spans="1:19" ht="18" customHeight="1" x14ac:dyDescent="0.25">
      <c r="A3" s="9" t="str">
        <f>'01_Inputs'!$B$5</f>
        <v>Base</v>
      </c>
      <c r="B3" s="34">
        <f>'04_Waterfall'!A3</f>
        <v>2025</v>
      </c>
      <c r="C3" s="24">
        <f>'04_Waterfall'!B3</f>
        <v>50.3</v>
      </c>
      <c r="D3" s="24">
        <f>'04_Waterfall'!C3</f>
        <v>2.5150000000000001</v>
      </c>
      <c r="E3" s="24">
        <f>'04_Waterfall'!D3</f>
        <v>0</v>
      </c>
      <c r="F3" s="25">
        <f>'04_Waterfall'!E3</f>
        <v>47.784999999999997</v>
      </c>
      <c r="G3" s="24">
        <f>'04_Waterfall'!F3</f>
        <v>5.6000000000000001E-2</v>
      </c>
      <c r="H3" s="24">
        <f>'04_Waterfall'!G3</f>
        <v>-18.2</v>
      </c>
      <c r="I3" s="24">
        <f>'04_Waterfall'!H3</f>
        <v>0</v>
      </c>
      <c r="J3" s="24">
        <f>'04_Waterfall'!I3</f>
        <v>0</v>
      </c>
      <c r="K3" s="24">
        <f>'04_Waterfall'!J3</f>
        <v>0</v>
      </c>
      <c r="L3" s="24">
        <f>'04_Waterfall'!K3</f>
        <v>325</v>
      </c>
      <c r="M3" s="26">
        <f>'04_Waterfall'!L3</f>
        <v>29.584999999999997</v>
      </c>
      <c r="N3" s="24">
        <f>'04_Waterfall'!M3</f>
        <v>14</v>
      </c>
      <c r="O3" s="25">
        <f>'04_Waterfall'!N3</f>
        <v>704.19999999999993</v>
      </c>
      <c r="P3" s="27">
        <f>'04_Waterfall'!O3</f>
        <v>0.4615166145981256</v>
      </c>
      <c r="Q3" s="27">
        <f>'01_Inputs'!$B$35</f>
        <v>0.29539375928677564</v>
      </c>
      <c r="R3" s="27">
        <f>'01_Inputs'!$B$33</f>
        <v>99.4</v>
      </c>
      <c r="S3" s="27">
        <f>'05_Outputs'!B17</f>
        <v>8.7392243684992561</v>
      </c>
    </row>
    <row r="4" spans="1:19" ht="18" customHeight="1" x14ac:dyDescent="0.25">
      <c r="A4" s="9" t="str">
        <f>'01_Inputs'!$B$5</f>
        <v>Base</v>
      </c>
      <c r="B4" s="34">
        <f>'04_Waterfall'!A4</f>
        <v>2026</v>
      </c>
      <c r="C4" s="24">
        <f>'04_Waterfall'!B4</f>
        <v>53.7</v>
      </c>
      <c r="D4" s="24">
        <f>'04_Waterfall'!C4</f>
        <v>2.6850000000000005</v>
      </c>
      <c r="E4" s="24">
        <f>'04_Waterfall'!D4</f>
        <v>0</v>
      </c>
      <c r="F4" s="25">
        <f>'04_Waterfall'!E4</f>
        <v>51.015000000000001</v>
      </c>
      <c r="G4" s="24">
        <f>'04_Waterfall'!F4</f>
        <v>5.7000000000000002E-2</v>
      </c>
      <c r="H4" s="24">
        <f>'04_Waterfall'!G4</f>
        <v>-18.525000000000002</v>
      </c>
      <c r="I4" s="24">
        <f>'04_Waterfall'!H4</f>
        <v>0</v>
      </c>
      <c r="J4" s="24">
        <f>'04_Waterfall'!I4</f>
        <v>126.08000000000004</v>
      </c>
      <c r="K4" s="24">
        <f>'04_Waterfall'!J4</f>
        <v>0</v>
      </c>
      <c r="L4" s="24">
        <f>'04_Waterfall'!K4</f>
        <v>451.08000000000004</v>
      </c>
      <c r="M4" s="26">
        <f>'04_Waterfall'!L4</f>
        <v>32.489999999999995</v>
      </c>
      <c r="N4" s="24">
        <f>'04_Waterfall'!M4</f>
        <v>14</v>
      </c>
      <c r="O4" s="25">
        <f>'04_Waterfall'!N4</f>
        <v>751.80000000000007</v>
      </c>
      <c r="P4" s="27">
        <f>'04_Waterfall'!O4</f>
        <v>0.6</v>
      </c>
      <c r="Q4" s="27">
        <f>'01_Inputs'!$B$35</f>
        <v>0.29539375928677564</v>
      </c>
      <c r="R4" s="27">
        <f>'01_Inputs'!$B$33</f>
        <v>99.4</v>
      </c>
      <c r="S4" s="27">
        <f>'05_Outputs'!B18</f>
        <v>9.5973432392273388</v>
      </c>
    </row>
    <row r="5" spans="1:19" ht="18" customHeight="1" x14ac:dyDescent="0.25">
      <c r="A5" s="9" t="str">
        <f>'01_Inputs'!$B$5</f>
        <v>Base</v>
      </c>
      <c r="B5" s="34">
        <f>'04_Waterfall'!A5</f>
        <v>2027</v>
      </c>
      <c r="C5" s="24">
        <f>'04_Waterfall'!B5</f>
        <v>56.3</v>
      </c>
      <c r="D5" s="24">
        <f>'04_Waterfall'!C5</f>
        <v>2.8149999999999999</v>
      </c>
      <c r="E5" s="24">
        <f>'04_Waterfall'!D5</f>
        <v>0</v>
      </c>
      <c r="F5" s="25">
        <f>'04_Waterfall'!E5</f>
        <v>53.484999999999999</v>
      </c>
      <c r="G5" s="24">
        <f>'04_Waterfall'!F5</f>
        <v>5.7000000000000002E-2</v>
      </c>
      <c r="H5" s="24">
        <f>'04_Waterfall'!G5</f>
        <v>-25.711560000000002</v>
      </c>
      <c r="I5" s="24">
        <f>'04_Waterfall'!H5</f>
        <v>0</v>
      </c>
      <c r="J5" s="24">
        <f>'04_Waterfall'!I5</f>
        <v>0</v>
      </c>
      <c r="K5" s="24">
        <f>'04_Waterfall'!J5</f>
        <v>0</v>
      </c>
      <c r="L5" s="24">
        <f>'04_Waterfall'!K5</f>
        <v>451.08000000000004</v>
      </c>
      <c r="M5" s="26">
        <f>'04_Waterfall'!L5</f>
        <v>27.773439999999997</v>
      </c>
      <c r="N5" s="24">
        <f>'04_Waterfall'!M5</f>
        <v>14</v>
      </c>
      <c r="O5" s="25">
        <f>'04_Waterfall'!N5</f>
        <v>788.19999999999993</v>
      </c>
      <c r="P5" s="27">
        <f>'04_Waterfall'!O5</f>
        <v>0.57229129662522216</v>
      </c>
      <c r="Q5" s="27">
        <f>'01_Inputs'!$B$35</f>
        <v>0.29539375928677564</v>
      </c>
      <c r="R5" s="27">
        <f>'01_Inputs'!$B$33</f>
        <v>99.4</v>
      </c>
      <c r="S5" s="27">
        <f>'05_Outputs'!B19</f>
        <v>8.2041008499257053</v>
      </c>
    </row>
    <row r="6" spans="1:19" ht="18" customHeight="1" x14ac:dyDescent="0.25">
      <c r="A6" s="9" t="str">
        <f>'01_Inputs'!$B$5</f>
        <v>Base</v>
      </c>
      <c r="B6" s="34">
        <f>'04_Waterfall'!A6</f>
        <v>2028</v>
      </c>
      <c r="C6" s="24">
        <f>'04_Waterfall'!B6</f>
        <v>58.3</v>
      </c>
      <c r="D6" s="24">
        <f>'04_Waterfall'!C6</f>
        <v>2.915</v>
      </c>
      <c r="E6" s="24">
        <f>'04_Waterfall'!D6</f>
        <v>0</v>
      </c>
      <c r="F6" s="25">
        <f>'04_Waterfall'!E6</f>
        <v>55.384999999999998</v>
      </c>
      <c r="G6" s="24">
        <f>'04_Waterfall'!F6</f>
        <v>5.8999999999999997E-2</v>
      </c>
      <c r="H6" s="24">
        <f>'04_Waterfall'!G6</f>
        <v>-26.613720000000001</v>
      </c>
      <c r="I6" s="24">
        <f>'04_Waterfall'!H6</f>
        <v>0</v>
      </c>
      <c r="J6" s="24">
        <f>'04_Waterfall'!I6</f>
        <v>0</v>
      </c>
      <c r="K6" s="24">
        <f>'04_Waterfall'!J6</f>
        <v>0</v>
      </c>
      <c r="L6" s="24">
        <f>'04_Waterfall'!K6</f>
        <v>451.08000000000004</v>
      </c>
      <c r="M6" s="26">
        <f>'04_Waterfall'!L6</f>
        <v>28.771279999999997</v>
      </c>
      <c r="N6" s="24">
        <f>'04_Waterfall'!M6</f>
        <v>13.6</v>
      </c>
      <c r="O6" s="25">
        <f>'04_Waterfall'!N6</f>
        <v>792.88</v>
      </c>
      <c r="P6" s="27">
        <f>'04_Waterfall'!O6</f>
        <v>0.56891332862476041</v>
      </c>
      <c r="Q6" s="27">
        <f>'01_Inputs'!$B$35</f>
        <v>0.29539375928677564</v>
      </c>
      <c r="R6" s="27">
        <f>'01_Inputs'!$B$33</f>
        <v>99.4</v>
      </c>
      <c r="S6" s="27">
        <f>'05_Outputs'!B20</f>
        <v>8.4988565586924221</v>
      </c>
    </row>
    <row r="7" spans="1:19" ht="18" customHeight="1" x14ac:dyDescent="0.25">
      <c r="A7" s="9" t="str">
        <f>'01_Inputs'!$B$5</f>
        <v>Base</v>
      </c>
      <c r="B7" s="34">
        <f>'04_Waterfall'!A7</f>
        <v>2029</v>
      </c>
      <c r="C7" s="24">
        <f>'04_Waterfall'!B7</f>
        <v>59.5</v>
      </c>
      <c r="D7" s="24">
        <f>'04_Waterfall'!C7</f>
        <v>2.9750000000000001</v>
      </c>
      <c r="E7" s="24">
        <f>'04_Waterfall'!D7</f>
        <v>0</v>
      </c>
      <c r="F7" s="25">
        <f>'04_Waterfall'!E7</f>
        <v>56.524999999999999</v>
      </c>
      <c r="G7" s="24">
        <f>'04_Waterfall'!F7</f>
        <v>5.8999999999999997E-2</v>
      </c>
      <c r="H7" s="24">
        <f>'04_Waterfall'!G7</f>
        <v>-26.613720000000001</v>
      </c>
      <c r="I7" s="24">
        <f>'04_Waterfall'!H7</f>
        <v>0</v>
      </c>
      <c r="J7" s="24">
        <f>'04_Waterfall'!I7</f>
        <v>20.159999999999911</v>
      </c>
      <c r="K7" s="24">
        <f>'04_Waterfall'!J7</f>
        <v>0</v>
      </c>
      <c r="L7" s="24">
        <f>'04_Waterfall'!K7</f>
        <v>471.23999999999995</v>
      </c>
      <c r="M7" s="26">
        <f>'04_Waterfall'!L7</f>
        <v>29.911279999999998</v>
      </c>
      <c r="N7" s="24">
        <f>'04_Waterfall'!M7</f>
        <v>13.2</v>
      </c>
      <c r="O7" s="25">
        <f>'04_Waterfall'!N7</f>
        <v>785.4</v>
      </c>
      <c r="P7" s="27">
        <f>'04_Waterfall'!O7</f>
        <v>0.6</v>
      </c>
      <c r="Q7" s="27">
        <f>'01_Inputs'!$B$35</f>
        <v>0.29539375928677564</v>
      </c>
      <c r="R7" s="27">
        <f>'01_Inputs'!$B$33</f>
        <v>99.4</v>
      </c>
      <c r="S7" s="27">
        <f>'05_Outputs'!B21</f>
        <v>8.835605444279345</v>
      </c>
    </row>
    <row r="8" spans="1:19" ht="18" customHeight="1" x14ac:dyDescent="0.25">
      <c r="A8" s="9" t="str">
        <f>'01_Inputs'!$B$5</f>
        <v>Base</v>
      </c>
      <c r="B8" s="34">
        <f>'04_Waterfall'!A8</f>
        <v>2030</v>
      </c>
      <c r="C8" s="24">
        <f>'04_Waterfall'!B8</f>
        <v>60.3</v>
      </c>
      <c r="D8" s="24">
        <f>'04_Waterfall'!C8</f>
        <v>3.0150000000000001</v>
      </c>
      <c r="E8" s="24">
        <f>'04_Waterfall'!D8</f>
        <v>0</v>
      </c>
      <c r="F8" s="25">
        <f>'04_Waterfall'!E8</f>
        <v>57.284999999999997</v>
      </c>
      <c r="G8" s="24">
        <f>'04_Waterfall'!F8</f>
        <v>0.06</v>
      </c>
      <c r="H8" s="24">
        <f>'04_Waterfall'!G8</f>
        <v>-28.274399999999996</v>
      </c>
      <c r="I8" s="24">
        <f>'04_Waterfall'!H8</f>
        <v>0</v>
      </c>
      <c r="J8" s="24">
        <f>'04_Waterfall'!I8</f>
        <v>0</v>
      </c>
      <c r="K8" s="24">
        <f>'04_Waterfall'!J8</f>
        <v>0</v>
      </c>
      <c r="L8" s="24">
        <f>'04_Waterfall'!K8</f>
        <v>471.23999999999995</v>
      </c>
      <c r="M8" s="26">
        <f>'04_Waterfall'!L8</f>
        <v>29.0106</v>
      </c>
      <c r="N8" s="24">
        <f>'04_Waterfall'!M8</f>
        <v>12.8</v>
      </c>
      <c r="O8" s="25">
        <f>'04_Waterfall'!N8</f>
        <v>771.84</v>
      </c>
      <c r="P8" s="27">
        <f>'04_Waterfall'!O8</f>
        <v>0.61054104477611937</v>
      </c>
      <c r="Q8" s="27">
        <f>'01_Inputs'!$B$35</f>
        <v>0.29539375928677564</v>
      </c>
      <c r="R8" s="27">
        <f>'01_Inputs'!$B$33</f>
        <v>99.4</v>
      </c>
      <c r="S8" s="27">
        <f>'05_Outputs'!B22</f>
        <v>8.5695501931649325</v>
      </c>
    </row>
    <row r="9" spans="1:19" ht="18" customHeight="1" x14ac:dyDescent="0.25">
      <c r="A9" s="9" t="str">
        <f>'01_Inputs'!$B$5</f>
        <v>Base</v>
      </c>
      <c r="B9" s="34">
        <f>'04_Waterfall'!A9</f>
        <v>2031</v>
      </c>
      <c r="C9" s="24">
        <f>'04_Waterfall'!B9</f>
        <v>61.2</v>
      </c>
      <c r="D9" s="24">
        <f>'04_Waterfall'!C9</f>
        <v>3.0600000000000005</v>
      </c>
      <c r="E9" s="24">
        <f>'04_Waterfall'!D9</f>
        <v>0</v>
      </c>
      <c r="F9" s="25">
        <f>'04_Waterfall'!E9</f>
        <v>58.14</v>
      </c>
      <c r="G9" s="24">
        <f>'04_Waterfall'!F9</f>
        <v>0.06</v>
      </c>
      <c r="H9" s="24">
        <f>'04_Waterfall'!G9</f>
        <v>-28.274399999999996</v>
      </c>
      <c r="I9" s="24">
        <f>'04_Waterfall'!H9</f>
        <v>0</v>
      </c>
      <c r="J9" s="24">
        <f>'04_Waterfall'!I9</f>
        <v>0</v>
      </c>
      <c r="K9" s="24">
        <f>'04_Waterfall'!J9</f>
        <v>0</v>
      </c>
      <c r="L9" s="24">
        <f>'04_Waterfall'!K9</f>
        <v>471.23999999999995</v>
      </c>
      <c r="M9" s="26">
        <f>'04_Waterfall'!L9</f>
        <v>29.865600000000004</v>
      </c>
      <c r="N9" s="24">
        <f>'04_Waterfall'!M9</f>
        <v>12.4</v>
      </c>
      <c r="O9" s="25">
        <f>'04_Waterfall'!N9</f>
        <v>758.88000000000011</v>
      </c>
      <c r="P9" s="27">
        <f>'04_Waterfall'!O9</f>
        <v>0.62096774193548376</v>
      </c>
      <c r="Q9" s="27">
        <f>'01_Inputs'!$B$35</f>
        <v>0.29539375928677564</v>
      </c>
      <c r="R9" s="27">
        <f>'01_Inputs'!$B$33</f>
        <v>99.4</v>
      </c>
      <c r="S9" s="27">
        <f>'05_Outputs'!B23</f>
        <v>8.8221118573551269</v>
      </c>
    </row>
    <row r="10" spans="1:19" ht="18" customHeight="1" x14ac:dyDescent="0.25">
      <c r="A10" s="9" t="str">
        <f>'01_Inputs'!$B$5</f>
        <v>Base</v>
      </c>
      <c r="B10" s="34">
        <f>'04_Waterfall'!A10</f>
        <v>2032</v>
      </c>
      <c r="C10" s="24">
        <f>'04_Waterfall'!B10</f>
        <v>62.2</v>
      </c>
      <c r="D10" s="24">
        <f>'04_Waterfall'!C10</f>
        <v>3.1100000000000003</v>
      </c>
      <c r="E10" s="24">
        <f>'04_Waterfall'!D10</f>
        <v>0</v>
      </c>
      <c r="F10" s="25">
        <f>'04_Waterfall'!E10</f>
        <v>59.09</v>
      </c>
      <c r="G10" s="24">
        <f>'04_Waterfall'!F10</f>
        <v>6.0999999999999999E-2</v>
      </c>
      <c r="H10" s="24">
        <f>'04_Waterfall'!G10</f>
        <v>-28.745639999999998</v>
      </c>
      <c r="I10" s="24">
        <f>'04_Waterfall'!H10</f>
        <v>0</v>
      </c>
      <c r="J10" s="24">
        <f>'04_Waterfall'!I10</f>
        <v>0</v>
      </c>
      <c r="K10" s="24">
        <f>'04_Waterfall'!J10</f>
        <v>0</v>
      </c>
      <c r="L10" s="24">
        <f>'04_Waterfall'!K10</f>
        <v>471.23999999999995</v>
      </c>
      <c r="M10" s="26">
        <f>'04_Waterfall'!L10</f>
        <v>30.344360000000005</v>
      </c>
      <c r="N10" s="24">
        <f>'04_Waterfall'!M10</f>
        <v>12</v>
      </c>
      <c r="O10" s="25">
        <f>'04_Waterfall'!N10</f>
        <v>746.40000000000009</v>
      </c>
      <c r="P10" s="27">
        <f>'04_Waterfall'!O10</f>
        <v>0.63135048231511237</v>
      </c>
      <c r="Q10" s="27">
        <f>'01_Inputs'!$B$35</f>
        <v>0.29539375928677564</v>
      </c>
      <c r="R10" s="27">
        <f>'01_Inputs'!$B$33</f>
        <v>99.4</v>
      </c>
      <c r="S10" s="27">
        <f>'05_Outputs'!B24</f>
        <v>8.9635345735512644</v>
      </c>
    </row>
    <row r="11" spans="1:19" ht="18" customHeight="1" x14ac:dyDescent="0.25">
      <c r="A11" s="9" t="str">
        <f>'01_Inputs'!$B$5</f>
        <v>Base</v>
      </c>
      <c r="B11" s="34">
        <f>'04_Waterfall'!A11</f>
        <v>2033</v>
      </c>
      <c r="C11" s="24">
        <f>'04_Waterfall'!B11</f>
        <v>63.3</v>
      </c>
      <c r="D11" s="24">
        <f>'04_Waterfall'!C11</f>
        <v>3.165</v>
      </c>
      <c r="E11" s="24">
        <f>'04_Waterfall'!D11</f>
        <v>0</v>
      </c>
      <c r="F11" s="25">
        <f>'04_Waterfall'!E11</f>
        <v>60.134999999999998</v>
      </c>
      <c r="G11" s="24">
        <f>'04_Waterfall'!F11</f>
        <v>6.0999999999999999E-2</v>
      </c>
      <c r="H11" s="24">
        <f>'04_Waterfall'!G11</f>
        <v>-28.745639999999998</v>
      </c>
      <c r="I11" s="24">
        <f>'04_Waterfall'!H11</f>
        <v>0</v>
      </c>
      <c r="J11" s="24">
        <f>'04_Waterfall'!I11</f>
        <v>0</v>
      </c>
      <c r="K11" s="24">
        <f>'04_Waterfall'!J11</f>
        <v>0</v>
      </c>
      <c r="L11" s="24">
        <f>'04_Waterfall'!K11</f>
        <v>471.23999999999995</v>
      </c>
      <c r="M11" s="26">
        <f>'04_Waterfall'!L11</f>
        <v>31.38936</v>
      </c>
      <c r="N11" s="24">
        <f>'04_Waterfall'!M11</f>
        <v>12</v>
      </c>
      <c r="O11" s="25">
        <f>'04_Waterfall'!N11</f>
        <v>759.59999999999991</v>
      </c>
      <c r="P11" s="27">
        <f>'04_Waterfall'!O11</f>
        <v>0.6203791469194313</v>
      </c>
      <c r="Q11" s="27">
        <f>'01_Inputs'!$B$35</f>
        <v>0.29539375928677564</v>
      </c>
      <c r="R11" s="27">
        <f>'01_Inputs'!$B$33</f>
        <v>99.4</v>
      </c>
      <c r="S11" s="27">
        <f>'05_Outputs'!B25</f>
        <v>9.2722210520059445</v>
      </c>
    </row>
    <row r="12" spans="1:19" ht="18" customHeight="1" x14ac:dyDescent="0.25">
      <c r="A12" s="9" t="str">
        <f>'01_Inputs'!$B$5</f>
        <v>Base</v>
      </c>
      <c r="B12" s="34">
        <f>'04_Waterfall'!A12</f>
        <v>2034</v>
      </c>
      <c r="C12" s="24">
        <f>'04_Waterfall'!B12</f>
        <v>64.3</v>
      </c>
      <c r="D12" s="24">
        <f>'04_Waterfall'!C12</f>
        <v>3.2149999999999999</v>
      </c>
      <c r="E12" s="24">
        <f>'04_Waterfall'!D12</f>
        <v>0</v>
      </c>
      <c r="F12" s="25">
        <f>'04_Waterfall'!E12</f>
        <v>61.084999999999994</v>
      </c>
      <c r="G12" s="24">
        <f>'04_Waterfall'!F12</f>
        <v>6.2E-2</v>
      </c>
      <c r="H12" s="24">
        <f>'04_Waterfall'!G12</f>
        <v>-29.216879999999996</v>
      </c>
      <c r="I12" s="24">
        <f>'04_Waterfall'!H12</f>
        <v>0</v>
      </c>
      <c r="J12" s="24">
        <f>'04_Waterfall'!I12</f>
        <v>0</v>
      </c>
      <c r="K12" s="24">
        <f>'04_Waterfall'!J12</f>
        <v>0</v>
      </c>
      <c r="L12" s="24">
        <f>'04_Waterfall'!K12</f>
        <v>471.23999999999995</v>
      </c>
      <c r="M12" s="26">
        <f>'04_Waterfall'!L12</f>
        <v>31.868119999999998</v>
      </c>
      <c r="N12" s="24">
        <f>'04_Waterfall'!M12</f>
        <v>12</v>
      </c>
      <c r="O12" s="25">
        <f>'04_Waterfall'!N12</f>
        <v>771.59999999999991</v>
      </c>
      <c r="P12" s="27">
        <f>'04_Waterfall'!O12</f>
        <v>0.61073094867807154</v>
      </c>
      <c r="Q12" s="27">
        <f>'01_Inputs'!$B$35</f>
        <v>0.29539375928677564</v>
      </c>
      <c r="R12" s="27">
        <f>'01_Inputs'!$B$33</f>
        <v>99.4</v>
      </c>
      <c r="S12" s="27">
        <f>'05_Outputs'!B26</f>
        <v>9.4136437682020802</v>
      </c>
    </row>
    <row r="13" spans="1:19" ht="18" customHeight="1" x14ac:dyDescent="0.25">
      <c r="A13" s="9" t="str">
        <f>'01_Inputs'!$B$5</f>
        <v>Base</v>
      </c>
      <c r="B13" s="34">
        <f>'04_Waterfall'!A13</f>
        <v>2035</v>
      </c>
      <c r="C13" s="24">
        <f>'04_Waterfall'!B13</f>
        <v>65.099999999999994</v>
      </c>
      <c r="D13" s="24">
        <f>'04_Waterfall'!C13</f>
        <v>3.2549999999999999</v>
      </c>
      <c r="E13" s="24">
        <f>'04_Waterfall'!D13</f>
        <v>0</v>
      </c>
      <c r="F13" s="25">
        <f>'04_Waterfall'!E13</f>
        <v>61.844999999999992</v>
      </c>
      <c r="G13" s="24">
        <f>'04_Waterfall'!F13</f>
        <v>6.2E-2</v>
      </c>
      <c r="H13" s="24">
        <f>'04_Waterfall'!G13</f>
        <v>-29.216879999999996</v>
      </c>
      <c r="I13" s="24">
        <f>'04_Waterfall'!H13</f>
        <v>0</v>
      </c>
      <c r="J13" s="24">
        <f>'04_Waterfall'!I13</f>
        <v>0</v>
      </c>
      <c r="K13" s="24">
        <f>'04_Waterfall'!J13</f>
        <v>0</v>
      </c>
      <c r="L13" s="24">
        <f>'04_Waterfall'!K13</f>
        <v>471.23999999999995</v>
      </c>
      <c r="M13" s="26">
        <f>'04_Waterfall'!L13</f>
        <v>32.628119999999996</v>
      </c>
      <c r="N13" s="24">
        <f>'04_Waterfall'!M13</f>
        <v>12</v>
      </c>
      <c r="O13" s="25">
        <f>'04_Waterfall'!N13</f>
        <v>781.19999999999993</v>
      </c>
      <c r="P13" s="27">
        <f>'04_Waterfall'!O13</f>
        <v>0.60322580645161294</v>
      </c>
      <c r="Q13" s="27">
        <f>'01_Inputs'!$B$35</f>
        <v>0.29539375928677564</v>
      </c>
      <c r="R13" s="27">
        <f>'01_Inputs'!$B$33</f>
        <v>99.4</v>
      </c>
      <c r="S13" s="27">
        <f>'05_Outputs'!B27</f>
        <v>9.6381430252600282</v>
      </c>
    </row>
    <row r="14" spans="1:19" ht="18" customHeight="1" x14ac:dyDescent="0.25">
      <c r="A14" s="9" t="str">
        <f>'01_Inputs'!$B$5</f>
        <v>Base</v>
      </c>
      <c r="B14" s="34">
        <f>'04_Waterfall'!A14</f>
        <v>2036</v>
      </c>
      <c r="C14" s="24">
        <f>'04_Waterfall'!B14</f>
        <v>65.8</v>
      </c>
      <c r="D14" s="24">
        <f>'04_Waterfall'!C14</f>
        <v>3.29</v>
      </c>
      <c r="E14" s="24">
        <f>'04_Waterfall'!D14</f>
        <v>0</v>
      </c>
      <c r="F14" s="25">
        <f>'04_Waterfall'!E14</f>
        <v>62.51</v>
      </c>
      <c r="G14" s="24">
        <f>'04_Waterfall'!F14</f>
        <v>6.2E-2</v>
      </c>
      <c r="H14" s="24">
        <f>'04_Waterfall'!G14</f>
        <v>-29.216879999999996</v>
      </c>
      <c r="I14" s="24">
        <f>'04_Waterfall'!H14</f>
        <v>0</v>
      </c>
      <c r="J14" s="24">
        <f>'04_Waterfall'!I14</f>
        <v>0</v>
      </c>
      <c r="K14" s="24">
        <f>'04_Waterfall'!J14</f>
        <v>0</v>
      </c>
      <c r="L14" s="24">
        <f>'04_Waterfall'!K14</f>
        <v>471.23999999999995</v>
      </c>
      <c r="M14" s="26">
        <f>'04_Waterfall'!L14</f>
        <v>33.293120000000002</v>
      </c>
      <c r="N14" s="24">
        <f>'04_Waterfall'!M14</f>
        <v>12</v>
      </c>
      <c r="O14" s="25">
        <f>'04_Waterfall'!N14</f>
        <v>789.59999999999991</v>
      </c>
      <c r="P14" s="27">
        <f>'04_Waterfall'!O14</f>
        <v>0.59680851063829787</v>
      </c>
      <c r="Q14" s="27">
        <f>'01_Inputs'!$B$35</f>
        <v>0.29539375928677564</v>
      </c>
      <c r="R14" s="27">
        <f>'01_Inputs'!$B$33</f>
        <v>99.4</v>
      </c>
      <c r="S14" s="27">
        <f>'05_Outputs'!B28</f>
        <v>9.834579875185737</v>
      </c>
    </row>
    <row r="15" spans="1:19" ht="18" customHeight="1" x14ac:dyDescent="0.25">
      <c r="A15" s="9" t="str">
        <f>'01_Inputs'!$B$5</f>
        <v>Base</v>
      </c>
      <c r="B15" s="34">
        <f>'04_Waterfall'!A15</f>
        <v>2037</v>
      </c>
      <c r="C15" s="24">
        <f>'04_Waterfall'!B15</f>
        <v>66.400000000000006</v>
      </c>
      <c r="D15" s="24">
        <f>'04_Waterfall'!C15</f>
        <v>3.3200000000000003</v>
      </c>
      <c r="E15" s="24">
        <f>'04_Waterfall'!D15</f>
        <v>0</v>
      </c>
      <c r="F15" s="25">
        <f>'04_Waterfall'!E15</f>
        <v>63.080000000000005</v>
      </c>
      <c r="G15" s="24">
        <f>'04_Waterfall'!F15</f>
        <v>6.2E-2</v>
      </c>
      <c r="H15" s="24">
        <f>'04_Waterfall'!G15</f>
        <v>-29.216879999999996</v>
      </c>
      <c r="I15" s="24">
        <f>'04_Waterfall'!H15</f>
        <v>0</v>
      </c>
      <c r="J15" s="24">
        <f>'04_Waterfall'!I15</f>
        <v>0</v>
      </c>
      <c r="K15" s="24">
        <f>'04_Waterfall'!J15</f>
        <v>0</v>
      </c>
      <c r="L15" s="24">
        <f>'04_Waterfall'!K15</f>
        <v>471.23999999999995</v>
      </c>
      <c r="M15" s="26">
        <f>'04_Waterfall'!L15</f>
        <v>33.863120000000009</v>
      </c>
      <c r="N15" s="24">
        <f>'04_Waterfall'!M15</f>
        <v>12</v>
      </c>
      <c r="O15" s="25">
        <f>'04_Waterfall'!N15</f>
        <v>796.80000000000007</v>
      </c>
      <c r="P15" s="27">
        <f>'04_Waterfall'!O15</f>
        <v>0.5914156626506023</v>
      </c>
      <c r="Q15" s="27">
        <f>'01_Inputs'!$B$35</f>
        <v>0.29539375928677564</v>
      </c>
      <c r="R15" s="27">
        <f>'01_Inputs'!$B$33</f>
        <v>99.4</v>
      </c>
      <c r="S15" s="27">
        <f>'05_Outputs'!B29</f>
        <v>10.002954317979201</v>
      </c>
    </row>
    <row r="16" spans="1:19" ht="18" customHeight="1" x14ac:dyDescent="0.25">
      <c r="A16" s="9" t="str">
        <f>'01_Inputs'!$B$5</f>
        <v>Base</v>
      </c>
      <c r="B16" s="34">
        <f>'04_Waterfall'!A16</f>
        <v>2038</v>
      </c>
      <c r="C16" s="24">
        <f>'04_Waterfall'!B16</f>
        <v>67</v>
      </c>
      <c r="D16" s="24">
        <f>'04_Waterfall'!C16</f>
        <v>3.35</v>
      </c>
      <c r="E16" s="24">
        <f>'04_Waterfall'!D16</f>
        <v>0</v>
      </c>
      <c r="F16" s="25">
        <f>'04_Waterfall'!E16</f>
        <v>63.65</v>
      </c>
      <c r="G16" s="24">
        <f>'04_Waterfall'!F16</f>
        <v>6.2E-2</v>
      </c>
      <c r="H16" s="24">
        <f>'04_Waterfall'!G16</f>
        <v>-29.216879999999996</v>
      </c>
      <c r="I16" s="24">
        <f>'04_Waterfall'!H16</f>
        <v>0</v>
      </c>
      <c r="J16" s="24">
        <f>'04_Waterfall'!I16</f>
        <v>0</v>
      </c>
      <c r="K16" s="24">
        <f>'04_Waterfall'!J16</f>
        <v>0</v>
      </c>
      <c r="L16" s="24">
        <f>'04_Waterfall'!K16</f>
        <v>471.23999999999995</v>
      </c>
      <c r="M16" s="26">
        <f>'04_Waterfall'!L16</f>
        <v>34.433120000000002</v>
      </c>
      <c r="N16" s="24">
        <f>'04_Waterfall'!M16</f>
        <v>12</v>
      </c>
      <c r="O16" s="25">
        <f>'04_Waterfall'!N16</f>
        <v>804</v>
      </c>
      <c r="P16" s="27">
        <f>'04_Waterfall'!O16</f>
        <v>0.58611940298507459</v>
      </c>
      <c r="Q16" s="27">
        <f>'01_Inputs'!$B$35</f>
        <v>0.29539375928677564</v>
      </c>
      <c r="R16" s="27">
        <f>'01_Inputs'!$B$33</f>
        <v>99.4</v>
      </c>
      <c r="S16" s="27">
        <f>'05_Outputs'!B30</f>
        <v>10.17132876077266</v>
      </c>
    </row>
    <row r="17" spans="1:19" ht="18" customHeight="1" x14ac:dyDescent="0.25">
      <c r="A17" s="9" t="str">
        <f>'01_Inputs'!$B$5</f>
        <v>Base</v>
      </c>
      <c r="B17" s="34">
        <f>'04_Waterfall'!A17</f>
        <v>2039</v>
      </c>
      <c r="C17" s="24">
        <f>'04_Waterfall'!B17</f>
        <v>67.5</v>
      </c>
      <c r="D17" s="24">
        <f>'04_Waterfall'!C17</f>
        <v>3.375</v>
      </c>
      <c r="E17" s="24">
        <f>'04_Waterfall'!D17</f>
        <v>0</v>
      </c>
      <c r="F17" s="25">
        <f>'04_Waterfall'!E17</f>
        <v>64.125</v>
      </c>
      <c r="G17" s="24">
        <f>'04_Waterfall'!F17</f>
        <v>6.2E-2</v>
      </c>
      <c r="H17" s="24">
        <f>'04_Waterfall'!G17</f>
        <v>-29.216879999999996</v>
      </c>
      <c r="I17" s="24">
        <f>'04_Waterfall'!H17</f>
        <v>0</v>
      </c>
      <c r="J17" s="24">
        <f>'04_Waterfall'!I17</f>
        <v>0</v>
      </c>
      <c r="K17" s="24">
        <f>'04_Waterfall'!J17</f>
        <v>0</v>
      </c>
      <c r="L17" s="24">
        <f>'04_Waterfall'!K17</f>
        <v>471.23999999999995</v>
      </c>
      <c r="M17" s="26">
        <f>'04_Waterfall'!L17</f>
        <v>338.76000000000005</v>
      </c>
      <c r="N17" s="24">
        <f>'04_Waterfall'!M17</f>
        <v>12</v>
      </c>
      <c r="O17" s="25">
        <f>'04_Waterfall'!N17</f>
        <v>810</v>
      </c>
      <c r="P17" s="27">
        <f>'04_Waterfall'!O17</f>
        <v>0.58177777777777773</v>
      </c>
      <c r="Q17" s="27">
        <f>'01_Inputs'!$B$35</f>
        <v>0.29539375928677564</v>
      </c>
      <c r="R17" s="27">
        <f>'01_Inputs'!$B$33</f>
        <v>99.4</v>
      </c>
      <c r="S17" s="27">
        <f>'05_Outputs'!B31</f>
        <v>100.06758989598814</v>
      </c>
    </row>
    <row r="19" spans="1:19" ht="30" customHeight="1" x14ac:dyDescent="0.25">
      <c r="A19" s="19" t="s">
        <v>155</v>
      </c>
      <c r="B19" s="31" t="s">
        <v>156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</sheetData>
  <mergeCells count="1">
    <mergeCell ref="B19:S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00_Python_NextSteps</vt:lpstr>
      <vt:lpstr>01_Inputs</vt:lpstr>
      <vt:lpstr>02_PIR_Data_Paste</vt:lpstr>
      <vt:lpstr>03_Map</vt:lpstr>
      <vt:lpstr>04_Waterfall</vt:lpstr>
      <vt:lpstr>05_Outputs</vt:lpstr>
      <vt:lpstr>06_Checks</vt:lpstr>
      <vt:lpstr>07_Export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Brunner Noah W.BSCBAVZ.2301</cp:lastModifiedBy>
  <dcterms:created xsi:type="dcterms:W3CDTF">2026-02-12T11:16:41Z</dcterms:created>
  <dcterms:modified xsi:type="dcterms:W3CDTF">2026-02-16T16:05:03Z</dcterms:modified>
</cp:coreProperties>
</file>